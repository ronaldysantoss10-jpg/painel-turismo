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M:\SNPTUR\DEQUA\CGQT\GAB_CGQT\1 - ASSESSORIA\10 - Ações da Coordenação\2026\relatorio-qualificacao-turismo\"/>
    </mc:Choice>
  </mc:AlternateContent>
  <xr:revisionPtr revIDLastSave="0" documentId="13_ncr:1_{94AE564C-8129-4331-894A-F3EA694C0C75}" xr6:coauthVersionLast="47" xr6:coauthVersionMax="47" xr10:uidLastSave="{00000000-0000-0000-0000-000000000000}"/>
  <bookViews>
    <workbookView xWindow="-120" yWindow="-120" windowWidth="29040" windowHeight="15720" firstSheet="1" activeTab="4" xr2:uid="{ED9632E4-20F6-4F93-9320-C919929763ED}"/>
  </bookViews>
  <sheets>
    <sheet name="Planilha2" sheetId="12" state="hidden" r:id="rId1"/>
    <sheet name="TOTAIS VAG. MAT. QUALI." sheetId="6" r:id="rId2"/>
    <sheet name="total" sheetId="2" r:id="rId3"/>
    <sheet name="Gráfico1" sheetId="18" state="hidden" r:id="rId4"/>
    <sheet name="Geral" sheetId="15" r:id="rId5"/>
    <sheet name="Tipo de Instituição" sheetId="17" r:id="rId6"/>
    <sheet name="Total Por Tipo de Instituição" sheetId="14" r:id="rId7"/>
    <sheet name="Planilha5" sheetId="13" state="hidden" r:id="rId8"/>
    <sheet name="Planilha1" sheetId="8" state="hidden" r:id="rId9"/>
    <sheet name="Qualificados Total" sheetId="5" state="hidden" r:id="rId10"/>
    <sheet name="Planilha4" sheetId="11" state="hidden" r:id="rId11"/>
    <sheet name="Planilha3" sheetId="10" state="hidden" r:id="rId12"/>
    <sheet name="Qualificados 2026" sheetId="7" state="hidden" r:id="rId13"/>
    <sheet name="Qualificados 2025" sheetId="1" state="hidden" r:id="rId14"/>
    <sheet name="Qualificados 2024" sheetId="3" state="hidden" r:id="rId15"/>
    <sheet name="Qualificados 2023" sheetId="4" state="hidden" r:id="rId16"/>
  </sheets>
  <definedNames>
    <definedName name="_xlnm._FilterDatabase" localSheetId="4" hidden="1">Geral!$A$1:$N$70</definedName>
    <definedName name="_xlnm._FilterDatabase" localSheetId="5" hidden="1">'Tipo de Instituição'!$A$1:$L$61</definedName>
    <definedName name="_xlnm._FilterDatabase" localSheetId="6" hidden="1">'Total Por Tipo de Instituição'!$A$1:$L$76</definedName>
    <definedName name="_xlchart.v5.0" hidden="1">'Qualificados Total'!$B$2</definedName>
    <definedName name="_xlchart.v5.1" hidden="1">'Qualificados Total'!$B$3:$B$36</definedName>
    <definedName name="_xlchart.v5.2" hidden="1">'Qualificados Total'!$G$2</definedName>
    <definedName name="_xlchart.v5.3" hidden="1">'Qualificados Total'!$G$3:$G$36</definedName>
    <definedName name="_xlcn.WorksheetConnection_Planilha3A2G30" hidden="1">Planilha3!$A$2:$G$30</definedName>
    <definedName name="_xlcn.WorksheetConnection_Planilha7A1J64" hidden="1">Geral!$A$1:$N$70</definedName>
    <definedName name="_xlnm.Print_Area" localSheetId="9">'Qualificados Total'!$A$1:$G$36</definedName>
  </definedNames>
  <calcPr calcId="191029"/>
  <pivotCaches>
    <pivotCache cacheId="1052" r:id="rId17"/>
    <pivotCache cacheId="1053" r:id="rId1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 1" name="Intervalo 1" connection="WorksheetConnection_Planilha7!$A$1:$J$64"/>
          <x15:modelTable id="Intervalo" name="Intervalo" connection="WorksheetConnection_Planilha3!$A$2:$G$3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2" l="1"/>
  <c r="J75" i="14" l="1"/>
  <c r="K75" i="14"/>
  <c r="L75" i="14"/>
  <c r="I75" i="14"/>
  <c r="J61" i="14"/>
  <c r="K61" i="14"/>
  <c r="L61" i="14"/>
  <c r="I61" i="14"/>
  <c r="J51" i="14"/>
  <c r="K51" i="14"/>
  <c r="L51" i="14"/>
  <c r="I51" i="14"/>
  <c r="J27" i="14"/>
  <c r="K27" i="14"/>
  <c r="L27" i="14"/>
  <c r="I27" i="14"/>
  <c r="J17" i="14"/>
  <c r="K17" i="14"/>
  <c r="L17" i="14"/>
  <c r="I17" i="14"/>
  <c r="K76" i="14" l="1"/>
  <c r="L76" i="14"/>
  <c r="J76" i="14"/>
  <c r="I76" i="14"/>
  <c r="AF54" i="2" l="1"/>
  <c r="AG54" i="2"/>
  <c r="AH54" i="2"/>
  <c r="AF55" i="2"/>
  <c r="AG55" i="2"/>
  <c r="AH55" i="2"/>
  <c r="AF56" i="2"/>
  <c r="AG56" i="2"/>
  <c r="AH56" i="2"/>
  <c r="AF57" i="2"/>
  <c r="AG57" i="2"/>
  <c r="AH57" i="2"/>
  <c r="AF58" i="2"/>
  <c r="AG58" i="2"/>
  <c r="AH58" i="2"/>
  <c r="AF59" i="2"/>
  <c r="AG59" i="2"/>
  <c r="AH59" i="2"/>
  <c r="AF60" i="2"/>
  <c r="AG60" i="2"/>
  <c r="AH60" i="2"/>
  <c r="AF61" i="2"/>
  <c r="AG61" i="2"/>
  <c r="AH61" i="2"/>
  <c r="AF62" i="2"/>
  <c r="AG62" i="2"/>
  <c r="AH62" i="2"/>
  <c r="AF63" i="2"/>
  <c r="AG63" i="2"/>
  <c r="AH63" i="2"/>
  <c r="AF64" i="2"/>
  <c r="AG64" i="2"/>
  <c r="AH64" i="2"/>
  <c r="AF65" i="2"/>
  <c r="AG65" i="2"/>
  <c r="AH65" i="2"/>
  <c r="AF66" i="2"/>
  <c r="AG66" i="2"/>
  <c r="AH66" i="2"/>
  <c r="AE65" i="2"/>
  <c r="AE66" i="2"/>
  <c r="AE55" i="2"/>
  <c r="AE56" i="2"/>
  <c r="AE57" i="2"/>
  <c r="AE58" i="2"/>
  <c r="AE59" i="2"/>
  <c r="AE60" i="2"/>
  <c r="AE61" i="2"/>
  <c r="AE62" i="2"/>
  <c r="AE63" i="2"/>
  <c r="AE64" i="2"/>
  <c r="AE54" i="2"/>
  <c r="AD65" i="2"/>
  <c r="AD66" i="2"/>
  <c r="AD55" i="2"/>
  <c r="AD56" i="2"/>
  <c r="AD57" i="2"/>
  <c r="AD58" i="2"/>
  <c r="AD59" i="2"/>
  <c r="AD60" i="2"/>
  <c r="AD61" i="2"/>
  <c r="AD62" i="2"/>
  <c r="AD63" i="2"/>
  <c r="AD64" i="2"/>
  <c r="AD54" i="2"/>
  <c r="AF45" i="2"/>
  <c r="AG45" i="2"/>
  <c r="AH45" i="2"/>
  <c r="AF46" i="2"/>
  <c r="AG46" i="2"/>
  <c r="AH46" i="2"/>
  <c r="AF47" i="2"/>
  <c r="AG47" i="2"/>
  <c r="AH47" i="2"/>
  <c r="AF48" i="2"/>
  <c r="AG48" i="2"/>
  <c r="AH48" i="2"/>
  <c r="AF49" i="2"/>
  <c r="AG49" i="2"/>
  <c r="AH49" i="2"/>
  <c r="AF50" i="2"/>
  <c r="AG50" i="2"/>
  <c r="AH50" i="2"/>
  <c r="AF51" i="2"/>
  <c r="AG51" i="2"/>
  <c r="AH51" i="2"/>
  <c r="AF52" i="2"/>
  <c r="AG52" i="2"/>
  <c r="AH52" i="2"/>
  <c r="AF53" i="2"/>
  <c r="AG53" i="2"/>
  <c r="AH53" i="2"/>
  <c r="AE46" i="2"/>
  <c r="AE47" i="2"/>
  <c r="AE48" i="2"/>
  <c r="AE49" i="2"/>
  <c r="AE50" i="2"/>
  <c r="AE51" i="2"/>
  <c r="AE52" i="2"/>
  <c r="AE53" i="2"/>
  <c r="AE45" i="2"/>
  <c r="AD53" i="2"/>
  <c r="AD46" i="2"/>
  <c r="AD47" i="2"/>
  <c r="AD48" i="2"/>
  <c r="AD49" i="2"/>
  <c r="AD50" i="2"/>
  <c r="AD51" i="2"/>
  <c r="AD52" i="2"/>
  <c r="AD45" i="2"/>
  <c r="AF38" i="2"/>
  <c r="AG38" i="2"/>
  <c r="AH38" i="2"/>
  <c r="AF39" i="2"/>
  <c r="AG39" i="2"/>
  <c r="AH39" i="2"/>
  <c r="AF40" i="2"/>
  <c r="AG40" i="2"/>
  <c r="AH40" i="2"/>
  <c r="AF41" i="2"/>
  <c r="AG41" i="2"/>
  <c r="AH41" i="2"/>
  <c r="AF42" i="2"/>
  <c r="AG42" i="2"/>
  <c r="AH42" i="2"/>
  <c r="AF43" i="2"/>
  <c r="AG43" i="2"/>
  <c r="AH43" i="2"/>
  <c r="AF44" i="2"/>
  <c r="AG44" i="2"/>
  <c r="AH44" i="2"/>
  <c r="AE39" i="2"/>
  <c r="AE40" i="2"/>
  <c r="AE41" i="2"/>
  <c r="AE42" i="2"/>
  <c r="AE43" i="2"/>
  <c r="AE44" i="2"/>
  <c r="AE38" i="2"/>
  <c r="AD38" i="2"/>
  <c r="AE4" i="2"/>
  <c r="AF4" i="2"/>
  <c r="AG4" i="2"/>
  <c r="AH4" i="2"/>
  <c r="AE5" i="2"/>
  <c r="AF5" i="2"/>
  <c r="AG5" i="2"/>
  <c r="AH5" i="2"/>
  <c r="AE6" i="2"/>
  <c r="AF6" i="2"/>
  <c r="AG6" i="2"/>
  <c r="AH6" i="2"/>
  <c r="AE7" i="2"/>
  <c r="AF7" i="2"/>
  <c r="AG7" i="2"/>
  <c r="AH7" i="2"/>
  <c r="AE8" i="2"/>
  <c r="AF8" i="2"/>
  <c r="AG8" i="2"/>
  <c r="AH8" i="2"/>
  <c r="AE9" i="2"/>
  <c r="AF9" i="2"/>
  <c r="AG9" i="2"/>
  <c r="AH9" i="2"/>
  <c r="AE10" i="2"/>
  <c r="AF10" i="2"/>
  <c r="AG10" i="2"/>
  <c r="AH10" i="2"/>
  <c r="AE11" i="2"/>
  <c r="AF11" i="2"/>
  <c r="AG11" i="2"/>
  <c r="AH11" i="2"/>
  <c r="AE12" i="2"/>
  <c r="AF12" i="2"/>
  <c r="AG12" i="2"/>
  <c r="AH12" i="2"/>
  <c r="AE13" i="2"/>
  <c r="AF13" i="2"/>
  <c r="AG13" i="2"/>
  <c r="AH13" i="2"/>
  <c r="AE14" i="2"/>
  <c r="AF14" i="2"/>
  <c r="AG14" i="2"/>
  <c r="AH14" i="2"/>
  <c r="AE15" i="2"/>
  <c r="AF15" i="2"/>
  <c r="AG15" i="2"/>
  <c r="AH15" i="2"/>
  <c r="AE16" i="2"/>
  <c r="AF16" i="2"/>
  <c r="AG16" i="2"/>
  <c r="AH16" i="2"/>
  <c r="AE17" i="2"/>
  <c r="AF17" i="2"/>
  <c r="AG17" i="2"/>
  <c r="AH17" i="2"/>
  <c r="AE18" i="2"/>
  <c r="AF18" i="2"/>
  <c r="AG18" i="2"/>
  <c r="AH18" i="2"/>
  <c r="AE19" i="2"/>
  <c r="AF19" i="2"/>
  <c r="AG19" i="2"/>
  <c r="AH19" i="2"/>
  <c r="AE20" i="2"/>
  <c r="AF20" i="2"/>
  <c r="AG20" i="2"/>
  <c r="AH20" i="2"/>
  <c r="AE21" i="2"/>
  <c r="AF21" i="2"/>
  <c r="AG21" i="2"/>
  <c r="AH21" i="2"/>
  <c r="AE22" i="2"/>
  <c r="AF22" i="2"/>
  <c r="AG22" i="2"/>
  <c r="AH22" i="2"/>
  <c r="AE23" i="2"/>
  <c r="AF23" i="2"/>
  <c r="AG23" i="2"/>
  <c r="AH23" i="2"/>
  <c r="AE24" i="2"/>
  <c r="AF24" i="2"/>
  <c r="AG24" i="2"/>
  <c r="AH24" i="2"/>
  <c r="AE25" i="2"/>
  <c r="AF25" i="2"/>
  <c r="AG25" i="2"/>
  <c r="AH25" i="2"/>
  <c r="AE26" i="2"/>
  <c r="AF26" i="2"/>
  <c r="AG26" i="2"/>
  <c r="AH26" i="2"/>
  <c r="AE27" i="2"/>
  <c r="AF27" i="2"/>
  <c r="AG27" i="2"/>
  <c r="AH27" i="2"/>
  <c r="AE28" i="2"/>
  <c r="AF28" i="2"/>
  <c r="AG28" i="2"/>
  <c r="AH28" i="2"/>
  <c r="AE29" i="2"/>
  <c r="AF29" i="2"/>
  <c r="AG29" i="2"/>
  <c r="AH29" i="2"/>
  <c r="AE30" i="2"/>
  <c r="AF30" i="2"/>
  <c r="AG30" i="2"/>
  <c r="AH30" i="2"/>
  <c r="AE31" i="2"/>
  <c r="AF31" i="2"/>
  <c r="AG31" i="2"/>
  <c r="AH31" i="2"/>
  <c r="AE32" i="2"/>
  <c r="AF32" i="2"/>
  <c r="AH32" i="2"/>
  <c r="AE33" i="2"/>
  <c r="AF33" i="2"/>
  <c r="AG33" i="2"/>
  <c r="AH33" i="2"/>
  <c r="AE34" i="2"/>
  <c r="AF34" i="2"/>
  <c r="AG34" i="2"/>
  <c r="AH34" i="2"/>
  <c r="AE35" i="2"/>
  <c r="AF35" i="2"/>
  <c r="AG35" i="2"/>
  <c r="AH35" i="2"/>
  <c r="AE36" i="2"/>
  <c r="AF36" i="2"/>
  <c r="AG36" i="2"/>
  <c r="AH36" i="2"/>
  <c r="AE37" i="2"/>
  <c r="AF37" i="2"/>
  <c r="AG37" i="2"/>
  <c r="AH37" i="2"/>
  <c r="AF3" i="2"/>
  <c r="AG3" i="2"/>
  <c r="AH3" i="2"/>
  <c r="AE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" i="2"/>
  <c r="K79" i="2"/>
  <c r="J79" i="2"/>
  <c r="C7" i="6" s="1"/>
  <c r="I79" i="2"/>
  <c r="C3" i="6" s="1"/>
  <c r="H79" i="2"/>
  <c r="C16" i="6" s="1"/>
  <c r="K62" i="2"/>
  <c r="J62" i="2"/>
  <c r="I62" i="2"/>
  <c r="H62" i="2"/>
  <c r="D16" i="6" s="1"/>
  <c r="K49" i="2"/>
  <c r="J49" i="2"/>
  <c r="I49" i="2"/>
  <c r="H49" i="2"/>
  <c r="E16" i="6" s="1"/>
  <c r="K38" i="2"/>
  <c r="F11" i="6" s="1"/>
  <c r="J38" i="2"/>
  <c r="F7" i="6" s="1"/>
  <c r="I38" i="2"/>
  <c r="F3" i="6" s="1"/>
  <c r="H38" i="2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AK4" i="2" l="1"/>
  <c r="AK3" i="2"/>
  <c r="AL5" i="2"/>
  <c r="E3" i="6"/>
  <c r="AL6" i="2"/>
  <c r="AM6" i="2"/>
  <c r="AK5" i="2"/>
  <c r="AN5" i="2"/>
  <c r="E11" i="6"/>
  <c r="AN6" i="2"/>
  <c r="AM3" i="2"/>
  <c r="AN4" i="2"/>
  <c r="D11" i="6"/>
  <c r="AM5" i="2"/>
  <c r="E7" i="6"/>
  <c r="AL4" i="2"/>
  <c r="D3" i="6"/>
  <c r="AM4" i="2"/>
  <c r="D7" i="6"/>
  <c r="AK6" i="2"/>
  <c r="F16" i="6"/>
  <c r="AN3" i="2"/>
  <c r="C11" i="6"/>
  <c r="AL3" i="2"/>
  <c r="N31" i="3"/>
  <c r="L34" i="3"/>
  <c r="N34" i="3"/>
  <c r="N36" i="3" s="1"/>
  <c r="H34" i="3"/>
  <c r="P34" i="3"/>
  <c r="P30" i="3"/>
  <c r="P25" i="3"/>
  <c r="P17" i="3"/>
  <c r="P36" i="3" s="1"/>
  <c r="P7" i="3"/>
  <c r="AF74" i="2" l="1"/>
  <c r="G12" i="5"/>
  <c r="Q36" i="4" l="1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Q35" i="4"/>
  <c r="Q34" i="4"/>
  <c r="O34" i="4"/>
  <c r="N34" i="4"/>
  <c r="M34" i="4"/>
  <c r="L34" i="4"/>
  <c r="K34" i="4"/>
  <c r="J34" i="4"/>
  <c r="G34" i="4"/>
  <c r="F34" i="4"/>
  <c r="E34" i="4"/>
  <c r="D34" i="4"/>
  <c r="Q33" i="4"/>
  <c r="Q32" i="4"/>
  <c r="Q31" i="4"/>
  <c r="Q30" i="4"/>
  <c r="O30" i="4"/>
  <c r="N30" i="4"/>
  <c r="M30" i="4"/>
  <c r="L30" i="4"/>
  <c r="K30" i="4"/>
  <c r="J30" i="4"/>
  <c r="G30" i="4"/>
  <c r="F30" i="4"/>
  <c r="E30" i="4"/>
  <c r="D30" i="4"/>
  <c r="C30" i="4"/>
  <c r="Q29" i="4"/>
  <c r="Q28" i="4"/>
  <c r="Q27" i="4"/>
  <c r="Q26" i="4"/>
  <c r="Q25" i="4"/>
  <c r="P25" i="4"/>
  <c r="O25" i="4"/>
  <c r="N25" i="4"/>
  <c r="M25" i="4"/>
  <c r="L25" i="4"/>
  <c r="K25" i="4"/>
  <c r="J25" i="4"/>
  <c r="I25" i="4"/>
  <c r="G25" i="4"/>
  <c r="F25" i="4"/>
  <c r="E25" i="4"/>
  <c r="D25" i="4"/>
  <c r="C25" i="4"/>
  <c r="Q24" i="4"/>
  <c r="Q23" i="4"/>
  <c r="Q22" i="4"/>
  <c r="Q21" i="4"/>
  <c r="Q20" i="4"/>
  <c r="Q19" i="4"/>
  <c r="Q18" i="4"/>
  <c r="Q17" i="4"/>
  <c r="O17" i="4"/>
  <c r="N17" i="4"/>
  <c r="M17" i="4"/>
  <c r="L17" i="4"/>
  <c r="K17" i="4"/>
  <c r="J17" i="4"/>
  <c r="H17" i="4"/>
  <c r="G17" i="4"/>
  <c r="F17" i="4"/>
  <c r="E17" i="4"/>
  <c r="D17" i="4"/>
  <c r="C17" i="4"/>
  <c r="Q16" i="4"/>
  <c r="Q15" i="4"/>
  <c r="Q14" i="4"/>
  <c r="Q13" i="4"/>
  <c r="Q12" i="4"/>
  <c r="Q11" i="4"/>
  <c r="Q10" i="4"/>
  <c r="Q9" i="4"/>
  <c r="Q8" i="4"/>
  <c r="Q7" i="4"/>
  <c r="O7" i="4"/>
  <c r="N7" i="4"/>
  <c r="M7" i="4"/>
  <c r="L7" i="4"/>
  <c r="K7" i="4"/>
  <c r="J7" i="4"/>
  <c r="I7" i="4"/>
  <c r="G7" i="4"/>
  <c r="F7" i="4"/>
  <c r="E7" i="4"/>
  <c r="D7" i="4"/>
  <c r="C7" i="4"/>
  <c r="Q6" i="4"/>
  <c r="Q5" i="4"/>
  <c r="Q4" i="4"/>
  <c r="Q3" i="4"/>
  <c r="M36" i="3"/>
  <c r="K36" i="3"/>
  <c r="J36" i="3"/>
  <c r="G36" i="3"/>
  <c r="F36" i="3"/>
  <c r="E36" i="3"/>
  <c r="D36" i="3"/>
  <c r="C36" i="3"/>
  <c r="N35" i="3"/>
  <c r="K34" i="3"/>
  <c r="J34" i="3"/>
  <c r="I34" i="3"/>
  <c r="H36" i="3"/>
  <c r="E34" i="3"/>
  <c r="D34" i="3"/>
  <c r="C34" i="3"/>
  <c r="N33" i="3"/>
  <c r="N32" i="3"/>
  <c r="N30" i="3"/>
  <c r="M30" i="3"/>
  <c r="K30" i="3"/>
  <c r="J30" i="3"/>
  <c r="I30" i="3"/>
  <c r="H30" i="3"/>
  <c r="G30" i="3"/>
  <c r="E30" i="3"/>
  <c r="D30" i="3"/>
  <c r="C30" i="3"/>
  <c r="N29" i="3"/>
  <c r="N28" i="3"/>
  <c r="N27" i="3"/>
  <c r="N26" i="3"/>
  <c r="N25" i="3"/>
  <c r="M25" i="3"/>
  <c r="L25" i="3"/>
  <c r="K25" i="3"/>
  <c r="J25" i="3"/>
  <c r="I25" i="3"/>
  <c r="H25" i="3"/>
  <c r="F25" i="3"/>
  <c r="E25" i="3"/>
  <c r="D25" i="3"/>
  <c r="C25" i="3"/>
  <c r="N24" i="3"/>
  <c r="N23" i="3"/>
  <c r="N22" i="3"/>
  <c r="N21" i="3"/>
  <c r="N20" i="3"/>
  <c r="N19" i="3"/>
  <c r="N18" i="3"/>
  <c r="N17" i="3"/>
  <c r="M17" i="3"/>
  <c r="K17" i="3"/>
  <c r="J17" i="3"/>
  <c r="I17" i="3"/>
  <c r="H17" i="3"/>
  <c r="F17" i="3"/>
  <c r="E17" i="3"/>
  <c r="D17" i="3"/>
  <c r="C17" i="3"/>
  <c r="N16" i="3"/>
  <c r="N15" i="3"/>
  <c r="N14" i="3"/>
  <c r="N13" i="3"/>
  <c r="N12" i="3"/>
  <c r="N11" i="3"/>
  <c r="N10" i="3"/>
  <c r="N9" i="3"/>
  <c r="N8" i="3"/>
  <c r="N7" i="3"/>
  <c r="M7" i="3"/>
  <c r="K7" i="3"/>
  <c r="J7" i="3"/>
  <c r="I7" i="3"/>
  <c r="H7" i="3"/>
  <c r="F7" i="3"/>
  <c r="E7" i="3"/>
  <c r="D7" i="3"/>
  <c r="C7" i="3"/>
  <c r="N6" i="3"/>
  <c r="N5" i="3"/>
  <c r="N4" i="3"/>
  <c r="N3" i="3"/>
  <c r="J37" i="1"/>
  <c r="I37" i="1"/>
  <c r="H37" i="1"/>
  <c r="F37" i="1"/>
  <c r="E37" i="1"/>
  <c r="D37" i="1"/>
  <c r="C37" i="1"/>
  <c r="K36" i="1"/>
  <c r="K35" i="1"/>
  <c r="I35" i="1"/>
  <c r="H35" i="1"/>
  <c r="G35" i="1"/>
  <c r="F35" i="1"/>
  <c r="E35" i="1"/>
  <c r="D35" i="1"/>
  <c r="C35" i="1"/>
  <c r="K34" i="1"/>
  <c r="K33" i="1"/>
  <c r="K32" i="1"/>
  <c r="J31" i="1"/>
  <c r="I31" i="1"/>
  <c r="H31" i="1"/>
  <c r="G31" i="1"/>
  <c r="K31" i="1" s="1"/>
  <c r="K37" i="1" s="1"/>
  <c r="F31" i="1"/>
  <c r="E31" i="1"/>
  <c r="D31" i="1"/>
  <c r="C31" i="1"/>
  <c r="K30" i="1"/>
  <c r="K29" i="1"/>
  <c r="K28" i="1"/>
  <c r="K27" i="1"/>
  <c r="K26" i="1"/>
  <c r="J26" i="1"/>
  <c r="I26" i="1"/>
  <c r="H26" i="1"/>
  <c r="G26" i="1"/>
  <c r="F26" i="1"/>
  <c r="E26" i="1"/>
  <c r="D26" i="1"/>
  <c r="C26" i="1"/>
  <c r="K25" i="1"/>
  <c r="K24" i="1"/>
  <c r="K23" i="1"/>
  <c r="K22" i="1"/>
  <c r="K21" i="1"/>
  <c r="K20" i="1"/>
  <c r="K19" i="1"/>
  <c r="K18" i="1"/>
  <c r="J18" i="1"/>
  <c r="I18" i="1"/>
  <c r="H18" i="1"/>
  <c r="G18" i="1"/>
  <c r="F18" i="1"/>
  <c r="E18" i="1"/>
  <c r="D18" i="1"/>
  <c r="C18" i="1"/>
  <c r="K17" i="1"/>
  <c r="K16" i="1"/>
  <c r="K15" i="1"/>
  <c r="K14" i="1"/>
  <c r="K13" i="1"/>
  <c r="K12" i="1"/>
  <c r="K11" i="1"/>
  <c r="K10" i="1"/>
  <c r="K9" i="1"/>
  <c r="K8" i="1"/>
  <c r="J8" i="1"/>
  <c r="I8" i="1"/>
  <c r="H8" i="1"/>
  <c r="G8" i="1"/>
  <c r="F8" i="1"/>
  <c r="E8" i="1"/>
  <c r="D8" i="1"/>
  <c r="C8" i="1"/>
  <c r="K7" i="1"/>
  <c r="K6" i="1"/>
  <c r="K5" i="1"/>
  <c r="K4" i="1"/>
  <c r="J36" i="7"/>
  <c r="I36" i="7"/>
  <c r="H36" i="7"/>
  <c r="G36" i="7"/>
  <c r="F36" i="7"/>
  <c r="E36" i="7"/>
  <c r="D36" i="7"/>
  <c r="K35" i="7"/>
  <c r="K34" i="7"/>
  <c r="I34" i="7"/>
  <c r="H34" i="7"/>
  <c r="G34" i="7"/>
  <c r="F34" i="7"/>
  <c r="E34" i="7"/>
  <c r="D34" i="7"/>
  <c r="C34" i="7"/>
  <c r="K33" i="7"/>
  <c r="K32" i="7"/>
  <c r="K31" i="7"/>
  <c r="K30" i="7"/>
  <c r="J30" i="7"/>
  <c r="I30" i="7"/>
  <c r="H30" i="7"/>
  <c r="G30" i="7"/>
  <c r="F30" i="7"/>
  <c r="E30" i="7"/>
  <c r="D30" i="7"/>
  <c r="C30" i="7"/>
  <c r="K29" i="7"/>
  <c r="K28" i="7"/>
  <c r="K27" i="7"/>
  <c r="K26" i="7"/>
  <c r="K25" i="7"/>
  <c r="J25" i="7"/>
  <c r="I25" i="7"/>
  <c r="H25" i="7"/>
  <c r="G25" i="7"/>
  <c r="F25" i="7"/>
  <c r="E25" i="7"/>
  <c r="D25" i="7"/>
  <c r="C25" i="7"/>
  <c r="K24" i="7"/>
  <c r="K23" i="7"/>
  <c r="K22" i="7"/>
  <c r="K21" i="7"/>
  <c r="K20" i="7"/>
  <c r="K19" i="7"/>
  <c r="K18" i="7"/>
  <c r="J17" i="7"/>
  <c r="I17" i="7"/>
  <c r="H17" i="7"/>
  <c r="G17" i="7"/>
  <c r="F17" i="7"/>
  <c r="E17" i="7"/>
  <c r="D17" i="7"/>
  <c r="C17" i="7"/>
  <c r="C36" i="7" s="1"/>
  <c r="K16" i="7"/>
  <c r="K15" i="7"/>
  <c r="K14" i="7"/>
  <c r="K13" i="7"/>
  <c r="K12" i="7"/>
  <c r="K11" i="7"/>
  <c r="K10" i="7"/>
  <c r="K9" i="7"/>
  <c r="K8" i="7"/>
  <c r="K7" i="7"/>
  <c r="J7" i="7"/>
  <c r="I7" i="7"/>
  <c r="H7" i="7"/>
  <c r="G7" i="7"/>
  <c r="F7" i="7"/>
  <c r="E7" i="7"/>
  <c r="D7" i="7"/>
  <c r="C7" i="7"/>
  <c r="K6" i="7"/>
  <c r="K5" i="7"/>
  <c r="K4" i="7"/>
  <c r="K3" i="7"/>
  <c r="G35" i="5"/>
  <c r="F34" i="5"/>
  <c r="E34" i="5"/>
  <c r="D34" i="5"/>
  <c r="C34" i="5"/>
  <c r="G33" i="5"/>
  <c r="G32" i="5"/>
  <c r="G31" i="5"/>
  <c r="F30" i="5"/>
  <c r="E30" i="5"/>
  <c r="D30" i="5"/>
  <c r="C30" i="5"/>
  <c r="G30" i="5" s="1"/>
  <c r="G29" i="5"/>
  <c r="G28" i="5"/>
  <c r="G27" i="5"/>
  <c r="G26" i="5"/>
  <c r="F25" i="5"/>
  <c r="E25" i="5"/>
  <c r="D25" i="5"/>
  <c r="C25" i="5"/>
  <c r="G24" i="5"/>
  <c r="G23" i="5"/>
  <c r="G22" i="5"/>
  <c r="G21" i="5"/>
  <c r="G20" i="5"/>
  <c r="G19" i="5"/>
  <c r="G18" i="5"/>
  <c r="F17" i="5"/>
  <c r="E17" i="5"/>
  <c r="D17" i="5"/>
  <c r="C17" i="5"/>
  <c r="G16" i="5"/>
  <c r="G15" i="5"/>
  <c r="G14" i="5"/>
  <c r="G13" i="5"/>
  <c r="G11" i="5"/>
  <c r="G10" i="5"/>
  <c r="G9" i="5"/>
  <c r="G8" i="5"/>
  <c r="F7" i="5"/>
  <c r="E7" i="5"/>
  <c r="D7" i="5"/>
  <c r="C7" i="5"/>
  <c r="G7" i="5" s="1"/>
  <c r="G6" i="5"/>
  <c r="G5" i="5"/>
  <c r="G4" i="5"/>
  <c r="G3" i="5"/>
  <c r="AH67" i="2"/>
  <c r="AG67" i="2"/>
  <c r="AF67" i="2"/>
  <c r="AE67" i="2"/>
  <c r="K36" i="7" l="1"/>
  <c r="G16" i="6"/>
  <c r="F36" i="5"/>
  <c r="K17" i="7"/>
  <c r="E36" i="5"/>
  <c r="AG72" i="2"/>
  <c r="AF72" i="2"/>
  <c r="AG74" i="2"/>
  <c r="G17" i="5"/>
  <c r="G25" i="5"/>
  <c r="C36" i="5"/>
  <c r="D36" i="5"/>
  <c r="G34" i="5"/>
  <c r="I36" i="3"/>
  <c r="G37" i="1"/>
  <c r="AD73" i="2"/>
  <c r="AD76" i="2"/>
  <c r="AD72" i="2"/>
  <c r="AD74" i="2"/>
  <c r="AF73" i="2" l="1"/>
  <c r="AD75" i="2"/>
  <c r="AE72" i="2"/>
  <c r="AE75" i="2"/>
  <c r="G36" i="5"/>
  <c r="AG73" i="2"/>
  <c r="AE73" i="2"/>
  <c r="AE76" i="2"/>
  <c r="AG76" i="2"/>
  <c r="AF75" i="2"/>
  <c r="AE74" i="2"/>
  <c r="G7" i="6"/>
  <c r="AF76" i="2"/>
  <c r="AG75" i="2"/>
  <c r="G3" i="6"/>
  <c r="G1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129743-49BA-4976-82BC-A6FA975C007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625C321-E560-40FA-9C53-388232E3EDDD}" name="WorksheetConnection_Planilha3!$A$2:$G$30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Planilha3A2G30"/>
        </x15:connection>
      </ext>
    </extLst>
  </connection>
  <connection id="3" xr16:uid="{6CEDDA29-586E-4B82-9020-600DD6782476}" name="WorksheetConnection_Planilha7!$A$1:$J$64" type="102" refreshedVersion="8" minRefreshableVersion="5">
    <extLst>
      <ext xmlns:x15="http://schemas.microsoft.com/office/spreadsheetml/2010/11/main" uri="{DE250136-89BD-433C-8126-D09CA5730AF9}">
        <x15:connection id="Intervalo 1" autoDelete="1">
          <x15:rangePr sourceName="_xlcn.WorksheetConnection_Planilha7A1J64"/>
        </x15:connection>
      </ext>
    </extLst>
  </connection>
</connections>
</file>

<file path=xl/sharedStrings.xml><?xml version="1.0" encoding="utf-8"?>
<sst xmlns="http://schemas.openxmlformats.org/spreadsheetml/2006/main" count="2504" uniqueCount="382">
  <si>
    <t>Região</t>
  </si>
  <si>
    <t>Estado</t>
  </si>
  <si>
    <t>TOTAL GERAL</t>
  </si>
  <si>
    <t>Centro-Oeste</t>
  </si>
  <si>
    <t>Distrito Federal</t>
  </si>
  <si>
    <t>Goiás</t>
  </si>
  <si>
    <t>Mato Grosso</t>
  </si>
  <si>
    <t>Mato Grosso do Sul</t>
  </si>
  <si>
    <t>Subtotal Centro-Oeste</t>
  </si>
  <si>
    <t>Nordeste</t>
  </si>
  <si>
    <t>Alagoas</t>
  </si>
  <si>
    <t>Bahia</t>
  </si>
  <si>
    <t>Ceará</t>
  </si>
  <si>
    <t>Maranhão</t>
  </si>
  <si>
    <t>Paraíba</t>
  </si>
  <si>
    <t>Pernambuco</t>
  </si>
  <si>
    <t>Piauí</t>
  </si>
  <si>
    <t>Rio Grande do Norte</t>
  </si>
  <si>
    <t>Sergipe</t>
  </si>
  <si>
    <t>Subtotal Nordeste</t>
  </si>
  <si>
    <t>Norte</t>
  </si>
  <si>
    <t>Acre</t>
  </si>
  <si>
    <t>Amapá</t>
  </si>
  <si>
    <t>Amazonas</t>
  </si>
  <si>
    <t>Pará</t>
  </si>
  <si>
    <t>Rondônia</t>
  </si>
  <si>
    <t>Roraima</t>
  </si>
  <si>
    <t>Tocantins</t>
  </si>
  <si>
    <t>Subtotal Norte</t>
  </si>
  <si>
    <t>Sudeste</t>
  </si>
  <si>
    <t>Espírito Santo</t>
  </si>
  <si>
    <t>Minas Gerais</t>
  </si>
  <si>
    <t>Rio de Janeiro</t>
  </si>
  <si>
    <t>São Paulo</t>
  </si>
  <si>
    <t>Subtotal Sudeste</t>
  </si>
  <si>
    <t>Sul</t>
  </si>
  <si>
    <t>Paraná</t>
  </si>
  <si>
    <t>Rio Grande do Sul</t>
  </si>
  <si>
    <t>Santa Catarina</t>
  </si>
  <si>
    <t>Subtotal Sul</t>
  </si>
  <si>
    <t>Estrangeiros</t>
  </si>
  <si>
    <t>Total</t>
  </si>
  <si>
    <t>RELATÓRIO GERAL QUALIFICADOS 2025</t>
  </si>
  <si>
    <t>Escola Nacional do Turismo 
IFPA</t>
  </si>
  <si>
    <t>Acordo de Cooperação Técnica Mtur/Sesc/Senac n°002/2023</t>
  </si>
  <si>
    <t>Curso de Gestor de Turismo - CGT (Plataforma PEA)</t>
  </si>
  <si>
    <r>
      <rPr>
        <b/>
        <sz val="14"/>
        <color theme="1"/>
        <rFont val="Aptos Narrow"/>
        <family val="2"/>
        <scheme val="minor"/>
      </rPr>
      <t xml:space="preserve">
MINISTÉRIO DO TURISMO</t>
    </r>
    <r>
      <rPr>
        <sz val="14"/>
        <color theme="1"/>
        <rFont val="Aptos Narrow"/>
        <family val="2"/>
        <scheme val="minor"/>
      </rPr>
      <t xml:space="preserve">
Secretaria Nacional de Política de Turismo
Departamento de Qualidade, sustentabilidade e Ações Clímaticas no Turismo
Coordenação-Geral de Qualificação no Turismo
</t>
    </r>
    <r>
      <rPr>
        <b/>
        <sz val="14"/>
        <color theme="1"/>
        <rFont val="Aptos Narrow"/>
        <family val="2"/>
        <scheme val="minor"/>
      </rPr>
      <t>Atualizado em 12/01/2026</t>
    </r>
  </si>
  <si>
    <t>plataforma qualifica turismo</t>
  </si>
  <si>
    <t xml:space="preserve"> Vagas</t>
  </si>
  <si>
    <t>Qualificados</t>
  </si>
  <si>
    <t>Matriculados</t>
  </si>
  <si>
    <t>Instituições Parceiras</t>
  </si>
  <si>
    <t>Instituto Federal de Educação, Ciência e Tecnologia da Paraíba - IFPB</t>
  </si>
  <si>
    <t>Escola Nacional de Turismo (IFPA)</t>
  </si>
  <si>
    <t>Instituto Federal de Educação, Ciência e Tecnologia Sul-riograndense (IFSul)</t>
  </si>
  <si>
    <t xml:space="preserve">ACT Sesc/Senac </t>
  </si>
  <si>
    <t>Instituto Federal de Educação, Ciência e Tecnologia do Tocantins -IFTO</t>
  </si>
  <si>
    <t>Senac/PR</t>
  </si>
  <si>
    <t>Universidade Federal do Tocantins - UFT</t>
  </si>
  <si>
    <t>ACT Sesc/Senac</t>
  </si>
  <si>
    <t xml:space="preserve">Instituto Federal de Educação, Ciência e Tecnologia do Tocantins (IFTO)
</t>
  </si>
  <si>
    <t xml:space="preserve">Universidade Federal Fluminense - Sudeste - UFF 
</t>
  </si>
  <si>
    <t xml:space="preserve">Instituto Federal de Educação, Ciência e Tecnologia Sul-riograndense (IFSul)
</t>
  </si>
  <si>
    <t>Cursos</t>
  </si>
  <si>
    <t>RELATÓRIO GERAL QUALIFICADOS 2024</t>
  </si>
  <si>
    <t>Atendimento ao Turista - Brasil Braços Abertos -
BBA</t>
  </si>
  <si>
    <t>Curso de Gestor de Turismo - CGT</t>
  </si>
  <si>
    <t>Instituto Federal de Tocantins - IFTO             (Inglês e Espanhol)</t>
  </si>
  <si>
    <t>Escola Nacional 
IFPA</t>
  </si>
  <si>
    <t>ACT/SESC/SENAC</t>
  </si>
  <si>
    <t xml:space="preserve">Universidade Federal Fluminense Tocantins - UFF
</t>
  </si>
  <si>
    <t xml:space="preserve">Instituto Federal de Educação, Ciência e Tecnologia da Paraíba - IFPB​
</t>
  </si>
  <si>
    <t xml:space="preserve">Universidade Federal do Tocantins - UFT
</t>
  </si>
  <si>
    <t xml:space="preserve">Senac-PR
</t>
  </si>
  <si>
    <t>RELATÓRIO GERAL QUALIFICADOS 2023</t>
  </si>
  <si>
    <t>AT do Brasil
(English for Tourism)</t>
  </si>
  <si>
    <t>Senac-Pará</t>
  </si>
  <si>
    <t xml:space="preserve">Instituto Federal de Educação, Ciência e Tecnologia do Ceará - IFCE
</t>
  </si>
  <si>
    <t xml:space="preserve">Universidade Federal do Tocantins - UFT
</t>
  </si>
  <si>
    <t xml:space="preserve">Senac-SC 
</t>
  </si>
  <si>
    <t xml:space="preserve">Universidade Federal Fluminense - UFF
</t>
  </si>
  <si>
    <t>(plataforma qualifica turismo)</t>
  </si>
  <si>
    <t>Oferta de Cursos 2025</t>
  </si>
  <si>
    <t>Oferta de Cursos 2024</t>
  </si>
  <si>
    <t>Oferta de Cursos 2023</t>
  </si>
  <si>
    <t>Senac/SC</t>
  </si>
  <si>
    <t xml:space="preserve">Universidade Federal do Tocantins – UFT </t>
  </si>
  <si>
    <t>Instituto Federal do Tocantins - IFTO</t>
  </si>
  <si>
    <t>Universidade Federal Fluminense- UFF</t>
  </si>
  <si>
    <t>Instituto Federal de Educação, Ciência e Tecnologia do Ceará - IFCE</t>
  </si>
  <si>
    <t>TOTAL GERAL 2023</t>
  </si>
  <si>
    <t>TOTAL GERAL 2024</t>
  </si>
  <si>
    <t>TOTAL GERAL 2025</t>
  </si>
  <si>
    <t>Instituto Federal de Educação, Ciência e Tecnologia da Paraíba - IFPB​</t>
  </si>
  <si>
    <t>Instituto de Educação, Ciência e Tecnologia do Tocantins - IFTO</t>
  </si>
  <si>
    <t>Incluir Treinamentos
(Capacitação Básica e Autismo e Inclusão)</t>
  </si>
  <si>
    <t>Total Geral</t>
  </si>
  <si>
    <t>Ano</t>
  </si>
  <si>
    <t>Total dos anos</t>
  </si>
  <si>
    <t>Anos</t>
  </si>
  <si>
    <t>2023 a 2024</t>
  </si>
  <si>
    <t>2024 a 2025</t>
  </si>
  <si>
    <t>2023 a 2025</t>
  </si>
  <si>
    <t>Total de Estados</t>
  </si>
  <si>
    <t>26+DF</t>
  </si>
  <si>
    <t>TOTAL GERAL 2026</t>
  </si>
  <si>
    <t>Setur - RN</t>
  </si>
  <si>
    <t>TOTAL GERAL DE 2023 A 2026</t>
  </si>
  <si>
    <t>2023 a 2026</t>
  </si>
  <si>
    <t>2025 a 2026</t>
  </si>
  <si>
    <t>Oferta de Cursos 2026</t>
  </si>
  <si>
    <t>RELATÓRIO GERAL VAGAS OFERTADAS 2023 a 2026</t>
  </si>
  <si>
    <t>RELATÓRIO GERAL MATRICULADOS 2023 a 2026</t>
  </si>
  <si>
    <t>TOTAL GERAL 2023 A 2026</t>
  </si>
  <si>
    <t>RELATÓRIO GERAL QUALIFICADOS 2023 a 2026</t>
  </si>
  <si>
    <t>Comparação % Ano a Ano (2023 a 2026)</t>
  </si>
  <si>
    <t>Oferta de Cursos (2023 a 2026)</t>
  </si>
  <si>
    <t>Universidade Federal do Fluminense - UFF</t>
  </si>
  <si>
    <t>Universisade Federal Fluminense -  UFF</t>
  </si>
  <si>
    <t>plataforma qualifica turismo (UFMA)</t>
  </si>
  <si>
    <t>Fonte de Recurso</t>
  </si>
  <si>
    <t>Instrumento</t>
  </si>
  <si>
    <t>Nº SEI</t>
  </si>
  <si>
    <t>Convênio nº 970061/2024</t>
  </si>
  <si>
    <t>72031.002432/2024-84</t>
  </si>
  <si>
    <t>TED nº 01/2022</t>
  </si>
  <si>
    <t>72031.002275/2021-64</t>
  </si>
  <si>
    <t>TED nº 04/2020</t>
  </si>
  <si>
    <t>72031.011478/2020-61</t>
  </si>
  <si>
    <t>TED nº 07/2020</t>
  </si>
  <si>
    <t>72031.013839/2020-11</t>
  </si>
  <si>
    <t>72031.001167/2024-17</t>
  </si>
  <si>
    <t>ACT nº 04/2022</t>
  </si>
  <si>
    <t>72031.013372/2022-63</t>
  </si>
  <si>
    <t>72031.011644/2022-91</t>
  </si>
  <si>
    <t>TED nº 004/2019</t>
  </si>
  <si>
    <t>72031.015203/2019-62</t>
  </si>
  <si>
    <t>TED nº 02/2020</t>
  </si>
  <si>
    <t>72031.011513/2020-41</t>
  </si>
  <si>
    <t>Secretaria Estadual de Turismo do Rio Grande do Norte (SETUR-RN)</t>
  </si>
  <si>
    <t>TED nº 968127/2024</t>
  </si>
  <si>
    <t>TED nº 006/2015</t>
  </si>
  <si>
    <t>72031.005057/2017-03</t>
  </si>
  <si>
    <t>ACT nº 01/2022</t>
  </si>
  <si>
    <t>72031.013366/2022-14</t>
  </si>
  <si>
    <t>RP2</t>
  </si>
  <si>
    <t>0100000000</t>
  </si>
  <si>
    <t>Rótulos de Linha</t>
  </si>
  <si>
    <t>Soma de TOTAL GERAL 2025</t>
  </si>
  <si>
    <t>Soma de TOTAL GERAL 2026</t>
  </si>
  <si>
    <t>72031.006466/2023-67</t>
  </si>
  <si>
    <t>RELATÓRIO GERAL CURSOS OFERTADOS 2023 a 2026</t>
  </si>
  <si>
    <t>Associação Brasileira da Indústria de Hotéis do Rio Grande do Norte - ABIH/RN</t>
  </si>
  <si>
    <t>Associação Construir de Assistência Social</t>
  </si>
  <si>
    <t>EMPRESA ESTADUAL DE TURISMO - AMAZONASTUR</t>
  </si>
  <si>
    <t>Instituto Conexão</t>
  </si>
  <si>
    <t>Instituto Federal de Educação, Ciência e Tecnologia do Maranhão - IFMA</t>
  </si>
  <si>
    <t>Instituto Federal de Educação, Ciência e Tecnologia Do Piauí – IFPI</t>
  </si>
  <si>
    <t>INSTITUTO FUTURE DE JUVENTUDE, PROMOÇÃO, TURISMO, CULTURA E DESENVOLVIMENTO SUSTENTÁVEL</t>
  </si>
  <si>
    <t>INSTITUTO RESGATE ONG ESCOLA VOLUNTARIA AGRICOLA</t>
  </si>
  <si>
    <t>INSTITUTO SOCIAL DE CAPELANIA EDUCACIONAL E CULTURAL DO MARANHAO ISCEC MA</t>
  </si>
  <si>
    <t>Instituto Somar Solução Brasil</t>
  </si>
  <si>
    <t>SERVIÇO NACIONAL DA APRESENDIZAGEM COMERCIAL - SENAC - AR/RN</t>
  </si>
  <si>
    <t>Termo de Fomento nº 971418/2024</t>
  </si>
  <si>
    <t>Termo de Fomento nº 982185/2025</t>
  </si>
  <si>
    <t>Convênio nº 981882/2025</t>
  </si>
  <si>
    <t>Termo de Fomento nº 987800/2025</t>
  </si>
  <si>
    <t>TED nº 988799/2025</t>
  </si>
  <si>
    <t>TED nº 987841/2025</t>
  </si>
  <si>
    <t>Termo de Fomento nº 982190/2025</t>
  </si>
  <si>
    <t>Termo de Fomento nº 981884/2025</t>
  </si>
  <si>
    <t>Termo de Fomento nº 988537/2025</t>
  </si>
  <si>
    <t>Termo de Fomento nº 981981/2025</t>
  </si>
  <si>
    <t>Convênio nº 978164/2025</t>
  </si>
  <si>
    <t>72031.009417/2024-67</t>
  </si>
  <si>
    <t>RP6</t>
  </si>
  <si>
    <t>72031.007749/2025-98</t>
  </si>
  <si>
    <t>RP8</t>
  </si>
  <si>
    <t>72031.007729/2025-17</t>
  </si>
  <si>
    <t>72031.010787/2025-28</t>
  </si>
  <si>
    <t>72031.009969/2025-56</t>
  </si>
  <si>
    <t>72031.009540/2025-69</t>
  </si>
  <si>
    <t>72031.007746/2025-54</t>
  </si>
  <si>
    <t>72031.008882/2025-61</t>
  </si>
  <si>
    <t>72031.011033/2025-95</t>
  </si>
  <si>
    <t>72031.007747/2025-07</t>
  </si>
  <si>
    <t>72031.004919/2025-82</t>
  </si>
  <si>
    <t>Instituto Federal - IFPI</t>
  </si>
  <si>
    <t>Serviço Nacional de Aprendizagem Comercial do Rio Grande do Norte (SENAC-RN)</t>
  </si>
  <si>
    <t>Convênio nº 970093/2024</t>
  </si>
  <si>
    <t>72031.002426/2024-27</t>
  </si>
  <si>
    <t>PREFEITURA MUNICIPAL DE CANINDÉ DE SÃO FRANCISCO</t>
  </si>
  <si>
    <t>Convênio nº 981733/2025</t>
  </si>
  <si>
    <t>72031.007722/2025-03</t>
  </si>
  <si>
    <t>Prefeitura Municipal de Trajano de Moraes</t>
  </si>
  <si>
    <t>Convênio nº 981834/2025</t>
  </si>
  <si>
    <t>72031.007737/2025-63</t>
  </si>
  <si>
    <t>SECRETARIA DE ESTADO ECONOMICO DO PIAUÍ – SDE - Teresina/PI</t>
  </si>
  <si>
    <t>Convênio nº 981837/2025</t>
  </si>
  <si>
    <t>72031.008918/2025-15</t>
  </si>
  <si>
    <t>SECRETARIA DE ESTADO ECONOMICO DO PIAUÍ – SDE - Parnaíba/PI</t>
  </si>
  <si>
    <t>Convênio nº 981838/2025</t>
  </si>
  <si>
    <t>72031.008917/2025-62</t>
  </si>
  <si>
    <t>SECRETARIA DE ESTADO ECONOMICO DO PIAUÍ – SDE - Luzilândia/PI</t>
  </si>
  <si>
    <t>Convênio nº 981840/2025</t>
  </si>
  <si>
    <t>72031.008914/2025-29</t>
  </si>
  <si>
    <t>Prefeitura Municipal de Nilópolis</t>
  </si>
  <si>
    <t>Convênio nº 982154/2025</t>
  </si>
  <si>
    <t>72031.007723/2025-40</t>
  </si>
  <si>
    <t>SECRETARIA DE ESTADO DE ASSISTENCIA SOCIAL, TRABALHO, EMPREGO E RENDA -SEASTER</t>
  </si>
  <si>
    <t>Convênio nº 981933/2025</t>
  </si>
  <si>
    <t>72031.007724/2025-94</t>
  </si>
  <si>
    <t>Municipio de Porangatu</t>
  </si>
  <si>
    <t>Convênio nº 981938/2025</t>
  </si>
  <si>
    <t>72031.007744/2025-65</t>
  </si>
  <si>
    <t>FUNDACAO WALL FERRAZ</t>
  </si>
  <si>
    <t>Convênio nº 981951/2025</t>
  </si>
  <si>
    <t>72031.008951/2025-37</t>
  </si>
  <si>
    <t>MUNICÍPIO DE CAPELA</t>
  </si>
  <si>
    <t>Convênio nº 981970/2025</t>
  </si>
  <si>
    <t>72031.007719/2025-81</t>
  </si>
  <si>
    <t>Prefeitura Municipal de Tibau do Sul</t>
  </si>
  <si>
    <t>Convênio nº 981972/2025</t>
  </si>
  <si>
    <t>72031.007727/2025-28</t>
  </si>
  <si>
    <t>Município de Iaçu</t>
  </si>
  <si>
    <t>Convênio nº 982032/2025</t>
  </si>
  <si>
    <t>72031.007721/2025-51</t>
  </si>
  <si>
    <t>PREFEITURA MUNICIPAL DE WENCESLAU GUIMARÃES/BA</t>
  </si>
  <si>
    <t>Convênio nº 982062/2025</t>
  </si>
  <si>
    <t>72031.007745/2025-18</t>
  </si>
  <si>
    <t>PREFEITURA MUNICIPAL DE SOBRAL</t>
  </si>
  <si>
    <t>Convênio nº 982074/2025</t>
  </si>
  <si>
    <t>72031.008756/2025-15</t>
  </si>
  <si>
    <t>Convênio nº 982143/2025</t>
  </si>
  <si>
    <t>72031.007733/2025-85</t>
  </si>
  <si>
    <t>Prefeitura Municipal De Careiro</t>
  </si>
  <si>
    <t>Convênio nº 982173/2025</t>
  </si>
  <si>
    <t>72031.007739/2025-52</t>
  </si>
  <si>
    <t>Secretaria de Estado de Turismo – SETUR - PA</t>
  </si>
  <si>
    <t>Convênio nº 982176/2025</t>
  </si>
  <si>
    <t>72031.007587/2025-98</t>
  </si>
  <si>
    <t>PREFEITURA MUNICIPAL DE CONDE/PB</t>
  </si>
  <si>
    <t>Convênio nº 982177/2025</t>
  </si>
  <si>
    <t>72031.009014/2025-07</t>
  </si>
  <si>
    <t>Prefeitura Municipal de Italva</t>
  </si>
  <si>
    <t>Convênio nº 982182/2025</t>
  </si>
  <si>
    <t>72031.009016/2025-98</t>
  </si>
  <si>
    <t>ESTADO DO ACRE</t>
  </si>
  <si>
    <t>Convênio nº 984749/2025</t>
  </si>
  <si>
    <t>72031.009977/2025-01</t>
  </si>
  <si>
    <t>Prefeitura de Natal</t>
  </si>
  <si>
    <t>Convênio nº 988080/2025</t>
  </si>
  <si>
    <t>72031.010978/2025-90</t>
  </si>
  <si>
    <t>INSTITUTO NACIONAL DE PARCERIAS PUBLICAS - INPP</t>
  </si>
  <si>
    <t>Termo de Fomento nº 988679/2025</t>
  </si>
  <si>
    <t>72031.011036/2025-29</t>
  </si>
  <si>
    <t>BELEM</t>
  </si>
  <si>
    <t>VAGAS</t>
  </si>
  <si>
    <t>CURSOS</t>
  </si>
  <si>
    <t>SANTAREM</t>
  </si>
  <si>
    <t>VIGIA</t>
  </si>
  <si>
    <t>BRAGANÇA</t>
  </si>
  <si>
    <t>MATRICULAS</t>
  </si>
  <si>
    <t>QUALI</t>
  </si>
  <si>
    <t>SENAC</t>
  </si>
  <si>
    <t>INSCRITOS</t>
  </si>
  <si>
    <t>ESTADOS</t>
  </si>
  <si>
    <t>ACT nº 02/2020</t>
  </si>
  <si>
    <t>72031.014931/2020-91</t>
  </si>
  <si>
    <t>ACT nº 05/2022</t>
  </si>
  <si>
    <t>AT do Brasil</t>
  </si>
  <si>
    <t>72031.013373/2022-16</t>
  </si>
  <si>
    <t>PREFEITURAS E MUNICÍPIOS</t>
  </si>
  <si>
    <t>SECRETARIAS E GOVERNOS ESTADUAIS</t>
  </si>
  <si>
    <t>INSTITUTOS FEDERAIS E UNIVERSIDADES</t>
  </si>
  <si>
    <t>SISTEMA S</t>
  </si>
  <si>
    <t>ORGANIZAÇÕES PARCEIRAS, ONGs E FUNDAÇÕES</t>
  </si>
  <si>
    <t>SubTotal</t>
  </si>
  <si>
    <t>Tipo de Instituição</t>
  </si>
  <si>
    <t xml:space="preserve"> Ano</t>
  </si>
  <si>
    <t xml:space="preserve"> Cursos</t>
  </si>
  <si>
    <t xml:space="preserve"> Matriculados</t>
  </si>
  <si>
    <t xml:space="preserve"> Qualificados</t>
  </si>
  <si>
    <t/>
  </si>
  <si>
    <t>(vazio)</t>
  </si>
  <si>
    <t>UF</t>
  </si>
  <si>
    <t>Cidade Sede</t>
  </si>
  <si>
    <t>RN</t>
  </si>
  <si>
    <t>RJ</t>
  </si>
  <si>
    <t>AM</t>
  </si>
  <si>
    <t>MA</t>
  </si>
  <si>
    <t>PI</t>
  </si>
  <si>
    <t>CE</t>
  </si>
  <si>
    <t>SE</t>
  </si>
  <si>
    <t>PA</t>
  </si>
  <si>
    <t>GO</t>
  </si>
  <si>
    <t>BA</t>
  </si>
  <si>
    <t>PB</t>
  </si>
  <si>
    <t>AC</t>
  </si>
  <si>
    <t>DF</t>
  </si>
  <si>
    <t>TO</t>
  </si>
  <si>
    <t>PR</t>
  </si>
  <si>
    <t>SC</t>
  </si>
  <si>
    <t>Natal</t>
  </si>
  <si>
    <t>Manaus</t>
  </si>
  <si>
    <t>Teresina</t>
  </si>
  <si>
    <t>Parnaíba</t>
  </si>
  <si>
    <t>Luzilândia</t>
  </si>
  <si>
    <t>Fortaleza</t>
  </si>
  <si>
    <t>Penalva</t>
  </si>
  <si>
    <t>São Luiz</t>
  </si>
  <si>
    <t>Canindé de São Francisco</t>
  </si>
  <si>
    <t>Trajano de Moraes</t>
  </si>
  <si>
    <t>Nilópolis</t>
  </si>
  <si>
    <t>Belém</t>
  </si>
  <si>
    <t>Porangatu</t>
  </si>
  <si>
    <t>Iaçu</t>
  </si>
  <si>
    <t>Careiro</t>
  </si>
  <si>
    <t>Italva</t>
  </si>
  <si>
    <t>Capela</t>
  </si>
  <si>
    <t>Sobral</t>
  </si>
  <si>
    <t>Tibau do Sul</t>
  </si>
  <si>
    <t>Wenceslau Guimarães</t>
  </si>
  <si>
    <t>Conde</t>
  </si>
  <si>
    <t>Rio Branco</t>
  </si>
  <si>
    <t>Brasília</t>
  </si>
  <si>
    <t>RS</t>
  </si>
  <si>
    <t>Niterói</t>
  </si>
  <si>
    <t>Curitiba</t>
  </si>
  <si>
    <t>Florianópolis</t>
  </si>
  <si>
    <t>São Domingos do Prata</t>
  </si>
  <si>
    <t>MG</t>
  </si>
  <si>
    <t>Senac-PR</t>
  </si>
  <si>
    <t xml:space="preserve">Nilópolis </t>
  </si>
  <si>
    <t xml:space="preserve">Porangatu </t>
  </si>
  <si>
    <t xml:space="preserve">Iaçu </t>
  </si>
  <si>
    <t xml:space="preserve">Sobral </t>
  </si>
  <si>
    <t>Patu, Felipe Guerra, Currais Novos, Portalegre, Acari, Lagoa Nova</t>
  </si>
  <si>
    <t xml:space="preserve">Parnaíba </t>
  </si>
  <si>
    <t>Ananindeua, Benevides, Marituba, Santa Bárbara do Pará</t>
  </si>
  <si>
    <t xml:space="preserve">Belém </t>
  </si>
  <si>
    <t>Rio Branco, Cruzeiro do Sul, Tarauacá, Feijó, Epitaciolândia, Xapuri</t>
  </si>
  <si>
    <t>Buriti dos Lopes, Amarante, São Pedro do Piauí, Teresina, Cajueiro da Praia, Arraial, Cabaceiras do Piauí, Jardim do Mulato</t>
  </si>
  <si>
    <t xml:space="preserve">Batalha, Luzilândia, Teresina, José de Freitas, Campo Maior, Piripiri, Luzilândia, Parnaíba, Luís Correia, Cajueiro da Praia, </t>
  </si>
  <si>
    <t>Maxarangape, Serra de São Bento, Monte das Gameleiras, São Miguel do Gostoso, Baia Formosa, Tibau do Sul, Natal</t>
  </si>
  <si>
    <t>Búzios, Guapimirim</t>
  </si>
  <si>
    <t>Cabo Frio, Búzios, Paty do Alferes, Penedo, Petrópolis, Teresópolis, Paraty, Areal, Angra dos Reis</t>
  </si>
  <si>
    <t xml:space="preserve">São José de Ribamar, Paço do Lumiar, Bacuri, São Luís </t>
  </si>
  <si>
    <t xml:space="preserve">São Luís </t>
  </si>
  <si>
    <t>Benfica</t>
  </si>
  <si>
    <t>Nacional</t>
  </si>
  <si>
    <t xml:space="preserve">Belém, Santarém, Vigia, Bragança, </t>
  </si>
  <si>
    <t xml:space="preserve"> Norte e Centro-Oeste</t>
  </si>
  <si>
    <t>AM,BA,ES,MA,MG,MS,MT,PR,RJ,SE</t>
  </si>
  <si>
    <t>PR, PI, GO</t>
  </si>
  <si>
    <t>AM,BA,DF,ES,GO,MG,MS,MT,PE,SC,SE</t>
  </si>
  <si>
    <t>Belém, Santarém, Vigia, Bragança,</t>
  </si>
  <si>
    <t>Batalha, Luzilândia, Teresina, José de Freitas, Campo Maior, Piripiri, Luzilândia, Parnaíba, Luís Correia, Cajueiro da Praia,</t>
  </si>
  <si>
    <t>São José de Ribamar, Paço do Lumiar, Bacuri, São Luís</t>
  </si>
  <si>
    <t>São Luís</t>
  </si>
  <si>
    <t>Acari, Angicos, Apodi, Areia Branca, Assú, Baía Formosa, Baraúna, Brejinho, Carnaúba dos Dantas, Ceará Mirim, Cerro Corá, Currais Novos, Extremoz, Felipe Guerra, Florânia, Galinhos</t>
  </si>
  <si>
    <t>Local de Realização</t>
  </si>
  <si>
    <t>Tefé, Manaus, Manaus, Manacapuru, Maués, Parintins, Humaitá, Itacoatiara, Tabatinga</t>
  </si>
  <si>
    <t>Palmas</t>
  </si>
  <si>
    <t>Centro Oeste</t>
  </si>
  <si>
    <t>INSTITUTOS FEDERAIS</t>
  </si>
  <si>
    <t>UNIVERSIDADES</t>
  </si>
  <si>
    <t>ESTADO</t>
  </si>
  <si>
    <t>ORGANIZAÇÕES PARCEIRAS, ONGs</t>
  </si>
  <si>
    <t>PREFEITURAS</t>
  </si>
  <si>
    <t>TED nº 01/2020</t>
  </si>
  <si>
    <t>72031.002086/2020-19</t>
  </si>
  <si>
    <t>Incluir Treinamentos</t>
  </si>
  <si>
    <t>ACT nº 02/2021</t>
  </si>
  <si>
    <t>72031.012292/2021-18</t>
  </si>
  <si>
    <t>SP</t>
  </si>
  <si>
    <t>Secretaria Estadual de Turismo do Rio Grande do Norte SETUR-RN</t>
  </si>
  <si>
    <t>Convênio nº 970062/2024</t>
  </si>
  <si>
    <t>SERVICO DE APOIO AS MICRO E PEQUENAS EMPRESAS DE SE - SEBRAE</t>
  </si>
  <si>
    <t>72031.002433/2024-29</t>
  </si>
  <si>
    <t>Aracaju</t>
  </si>
  <si>
    <t>MUNICIPIO DE 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</si>
</sst>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b/>
      <sz val="18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22"/>
      <name val="Aptos Narrow"/>
      <family val="2"/>
      <scheme val="minor"/>
    </font>
    <font>
      <b/>
      <sz val="1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rgb="FF000000"/>
      <name val="Calibri"/>
      <family val="2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0" fontId="11" fillId="0" borderId="0"/>
    <xf numFmtId="9" fontId="11" fillId="0" borderId="0" applyFont="0" applyFill="0" applyBorder="0" applyAlignment="0" applyProtection="0"/>
  </cellStyleXfs>
  <cellXfs count="371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14" xfId="1" applyFont="1" applyBorder="1" applyAlignment="1">
      <alignment horizontal="center"/>
    </xf>
    <xf numFmtId="0" fontId="5" fillId="3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18" xfId="1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4" xfId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0" fontId="5" fillId="5" borderId="11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5" fillId="5" borderId="15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/>
    </xf>
    <xf numFmtId="0" fontId="5" fillId="5" borderId="4" xfId="1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8" fillId="6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6" borderId="15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8" fillId="6" borderId="4" xfId="1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8" fillId="7" borderId="26" xfId="0" applyFont="1" applyFill="1" applyBorder="1" applyAlignment="1">
      <alignment horizontal="center"/>
    </xf>
    <xf numFmtId="0" fontId="8" fillId="7" borderId="4" xfId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/>
    </xf>
    <xf numFmtId="0" fontId="5" fillId="0" borderId="28" xfId="1" applyFont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/>
    </xf>
    <xf numFmtId="0" fontId="8" fillId="6" borderId="3" xfId="1" applyFont="1" applyFill="1" applyBorder="1" applyAlignment="1">
      <alignment horizontal="center"/>
    </xf>
    <xf numFmtId="0" fontId="8" fillId="7" borderId="3" xfId="1" applyFont="1" applyFill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22" xfId="1" applyFont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4" borderId="4" xfId="1" applyFont="1" applyFill="1" applyBorder="1" applyAlignment="1">
      <alignment horizontal="center"/>
    </xf>
    <xf numFmtId="0" fontId="5" fillId="0" borderId="27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0" fillId="0" borderId="0" xfId="0" applyAlignment="1">
      <alignment wrapText="1"/>
    </xf>
    <xf numFmtId="0" fontId="10" fillId="8" borderId="4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/>
    </xf>
    <xf numFmtId="0" fontId="5" fillId="0" borderId="7" xfId="2" applyFont="1" applyBorder="1" applyAlignment="1">
      <alignment horizontal="center"/>
    </xf>
    <xf numFmtId="0" fontId="5" fillId="0" borderId="8" xfId="2" applyFont="1" applyBorder="1" applyAlignment="1">
      <alignment horizontal="center"/>
    </xf>
    <xf numFmtId="0" fontId="5" fillId="0" borderId="17" xfId="2" applyFont="1" applyBorder="1" applyAlignment="1">
      <alignment horizontal="center"/>
    </xf>
    <xf numFmtId="0" fontId="5" fillId="0" borderId="21" xfId="2" applyFont="1" applyBorder="1" applyAlignment="1">
      <alignment horizontal="center"/>
    </xf>
    <xf numFmtId="0" fontId="5" fillId="0" borderId="24" xfId="2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0" fontId="8" fillId="0" borderId="8" xfId="2" applyFont="1" applyBorder="1" applyAlignment="1">
      <alignment horizontal="center"/>
    </xf>
    <xf numFmtId="0" fontId="8" fillId="0" borderId="17" xfId="2" applyFont="1" applyBorder="1" applyAlignment="1">
      <alignment horizontal="center"/>
    </xf>
    <xf numFmtId="0" fontId="5" fillId="0" borderId="9" xfId="2" applyFont="1" applyBorder="1" applyAlignment="1">
      <alignment horizontal="center"/>
    </xf>
    <xf numFmtId="0" fontId="5" fillId="0" borderId="14" xfId="2" applyFont="1" applyBorder="1" applyAlignment="1">
      <alignment horizontal="center"/>
    </xf>
    <xf numFmtId="0" fontId="5" fillId="0" borderId="18" xfId="2" applyFont="1" applyBorder="1" applyAlignment="1">
      <alignment horizontal="center"/>
    </xf>
    <xf numFmtId="0" fontId="8" fillId="0" borderId="9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5" fillId="0" borderId="10" xfId="2" applyFont="1" applyBorder="1" applyAlignment="1">
      <alignment horizontal="center"/>
    </xf>
    <xf numFmtId="0" fontId="5" fillId="0" borderId="22" xfId="2" applyFont="1" applyBorder="1" applyAlignment="1">
      <alignment horizontal="center"/>
    </xf>
    <xf numFmtId="0" fontId="5" fillId="0" borderId="29" xfId="2" applyFont="1" applyBorder="1" applyAlignment="1">
      <alignment horizontal="center"/>
    </xf>
    <xf numFmtId="0" fontId="5" fillId="0" borderId="27" xfId="2" applyFont="1" applyBorder="1" applyAlignment="1">
      <alignment horizontal="center"/>
    </xf>
    <xf numFmtId="0" fontId="5" fillId="0" borderId="25" xfId="2" applyFont="1" applyBorder="1" applyAlignment="1">
      <alignment horizontal="center"/>
    </xf>
    <xf numFmtId="3" fontId="5" fillId="0" borderId="8" xfId="0" applyNumberFormat="1" applyFont="1" applyBorder="1" applyAlignment="1">
      <alignment horizont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3" fontId="0" fillId="0" borderId="0" xfId="0" applyNumberFormat="1"/>
    <xf numFmtId="0" fontId="0" fillId="0" borderId="12" xfId="0" applyBorder="1"/>
    <xf numFmtId="0" fontId="5" fillId="0" borderId="0" xfId="1" applyFont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14" fillId="3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5" fillId="0" borderId="25" xfId="1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5" fillId="5" borderId="25" xfId="1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/>
    </xf>
    <xf numFmtId="0" fontId="14" fillId="8" borderId="4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25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4" xfId="1" applyFont="1" applyFill="1" applyBorder="1" applyAlignment="1">
      <alignment horizontal="center" vertical="center"/>
    </xf>
    <xf numFmtId="0" fontId="8" fillId="7" borderId="26" xfId="0" applyFont="1" applyFill="1" applyBorder="1" applyAlignment="1">
      <alignment horizontal="center" vertical="center"/>
    </xf>
    <xf numFmtId="0" fontId="8" fillId="7" borderId="4" xfId="1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5" fillId="4" borderId="13" xfId="1" applyFont="1" applyFill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5" fillId="0" borderId="21" xfId="1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5" fillId="0" borderId="34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36" xfId="1" applyFont="1" applyBorder="1" applyAlignment="1">
      <alignment horizontal="center"/>
    </xf>
    <xf numFmtId="0" fontId="5" fillId="0" borderId="32" xfId="1" applyFont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0" fontId="5" fillId="5" borderId="13" xfId="1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8" fillId="0" borderId="17" xfId="1" applyFont="1" applyBorder="1" applyAlignment="1">
      <alignment horizontal="center"/>
    </xf>
    <xf numFmtId="0" fontId="15" fillId="6" borderId="13" xfId="0" applyFont="1" applyFill="1" applyBorder="1" applyAlignment="1">
      <alignment horizontal="center"/>
    </xf>
    <xf numFmtId="0" fontId="8" fillId="6" borderId="13" xfId="1" applyFont="1" applyFill="1" applyBorder="1" applyAlignment="1">
      <alignment horizontal="center"/>
    </xf>
    <xf numFmtId="0" fontId="15" fillId="7" borderId="26" xfId="0" applyFont="1" applyFill="1" applyBorder="1" applyAlignment="1">
      <alignment horizontal="center"/>
    </xf>
    <xf numFmtId="0" fontId="8" fillId="7" borderId="26" xfId="1" applyFont="1" applyFill="1" applyBorder="1" applyAlignment="1">
      <alignment horizontal="center"/>
    </xf>
    <xf numFmtId="0" fontId="20" fillId="11" borderId="31" xfId="0" applyFont="1" applyFill="1" applyBorder="1" applyAlignment="1">
      <alignment horizontal="center"/>
    </xf>
    <xf numFmtId="0" fontId="20" fillId="11" borderId="4" xfId="0" applyFont="1" applyFill="1" applyBorder="1" applyAlignment="1">
      <alignment horizontal="center"/>
    </xf>
    <xf numFmtId="0" fontId="20" fillId="11" borderId="26" xfId="0" applyFont="1" applyFill="1" applyBorder="1" applyAlignment="1">
      <alignment horizontal="center"/>
    </xf>
    <xf numFmtId="0" fontId="21" fillId="9" borderId="4" xfId="0" applyFont="1" applyFill="1" applyBorder="1" applyAlignment="1">
      <alignment horizontal="center"/>
    </xf>
    <xf numFmtId="0" fontId="21" fillId="10" borderId="4" xfId="0" applyFont="1" applyFill="1" applyBorder="1" applyAlignment="1">
      <alignment horizontal="center" vertical="center"/>
    </xf>
    <xf numFmtId="0" fontId="12" fillId="0" borderId="0" xfId="0" applyFont="1"/>
    <xf numFmtId="3" fontId="12" fillId="0" borderId="0" xfId="0" applyNumberFormat="1" applyFont="1"/>
    <xf numFmtId="3" fontId="12" fillId="0" borderId="0" xfId="0" applyNumberFormat="1" applyFont="1" applyAlignment="1">
      <alignment horizontal="center"/>
    </xf>
    <xf numFmtId="0" fontId="0" fillId="0" borderId="12" xfId="0" applyBorder="1" applyAlignment="1">
      <alignment vertical="center"/>
    </xf>
    <xf numFmtId="3" fontId="0" fillId="0" borderId="12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3" fontId="12" fillId="0" borderId="12" xfId="0" applyNumberFormat="1" applyFont="1" applyBorder="1" applyAlignment="1">
      <alignment horizontal="center"/>
    </xf>
    <xf numFmtId="0" fontId="12" fillId="13" borderId="12" xfId="0" applyFont="1" applyFill="1" applyBorder="1" applyAlignment="1">
      <alignment horizontal="center" vertical="center"/>
    </xf>
    <xf numFmtId="3" fontId="12" fillId="13" borderId="12" xfId="0" applyNumberFormat="1" applyFont="1" applyFill="1" applyBorder="1" applyAlignment="1">
      <alignment horizontal="center" vertical="center"/>
    </xf>
    <xf numFmtId="0" fontId="12" fillId="14" borderId="12" xfId="0" applyFont="1" applyFill="1" applyBorder="1" applyAlignment="1">
      <alignment horizontal="center"/>
    </xf>
    <xf numFmtId="0" fontId="12" fillId="14" borderId="12" xfId="0" applyFont="1" applyFill="1" applyBorder="1" applyAlignment="1">
      <alignment horizontal="center" vertical="center"/>
    </xf>
    <xf numFmtId="3" fontId="12" fillId="14" borderId="12" xfId="0" applyNumberFormat="1" applyFont="1" applyFill="1" applyBorder="1" applyAlignment="1">
      <alignment horizontal="center" vertical="center"/>
    </xf>
    <xf numFmtId="0" fontId="12" fillId="16" borderId="12" xfId="0" applyFont="1" applyFill="1" applyBorder="1" applyAlignment="1">
      <alignment horizontal="center"/>
    </xf>
    <xf numFmtId="0" fontId="12" fillId="16" borderId="12" xfId="0" applyFont="1" applyFill="1" applyBorder="1" applyAlignment="1">
      <alignment horizontal="center" vertical="center"/>
    </xf>
    <xf numFmtId="3" fontId="12" fillId="16" borderId="12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/>
    </xf>
    <xf numFmtId="3" fontId="4" fillId="2" borderId="1" xfId="0" applyNumberFormat="1" applyFont="1" applyFill="1" applyBorder="1" applyAlignment="1">
      <alignment horizontal="center" vertical="center"/>
    </xf>
    <xf numFmtId="3" fontId="10" fillId="8" borderId="1" xfId="0" applyNumberFormat="1" applyFont="1" applyFill="1" applyBorder="1" applyAlignment="1">
      <alignment horizontal="center" vertical="center"/>
    </xf>
    <xf numFmtId="3" fontId="12" fillId="0" borderId="21" xfId="0" applyNumberFormat="1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3" fontId="4" fillId="2" borderId="4" xfId="0" applyNumberFormat="1" applyFont="1" applyFill="1" applyBorder="1" applyAlignment="1">
      <alignment horizontal="center" vertical="center"/>
    </xf>
    <xf numFmtId="3" fontId="10" fillId="8" borderId="4" xfId="0" applyNumberFormat="1" applyFont="1" applyFill="1" applyBorder="1" applyAlignment="1">
      <alignment horizontal="center" vertical="center"/>
    </xf>
    <xf numFmtId="9" fontId="0" fillId="0" borderId="0" xfId="3" applyFont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3" fontId="0" fillId="0" borderId="12" xfId="0" applyNumberFormat="1" applyBorder="1" applyAlignment="1">
      <alignment horizontal="center"/>
    </xf>
    <xf numFmtId="0" fontId="22" fillId="0" borderId="0" xfId="0" applyFont="1"/>
    <xf numFmtId="0" fontId="12" fillId="18" borderId="12" xfId="0" applyFont="1" applyFill="1" applyBorder="1" applyAlignment="1">
      <alignment horizontal="center" vertical="center"/>
    </xf>
    <xf numFmtId="3" fontId="12" fillId="18" borderId="12" xfId="0" applyNumberFormat="1" applyFont="1" applyFill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0" fontId="5" fillId="0" borderId="29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0" fontId="8" fillId="0" borderId="38" xfId="2" applyFont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4" xfId="1" applyFont="1" applyFill="1" applyBorder="1" applyAlignment="1">
      <alignment horizontal="center" vertical="center"/>
    </xf>
    <xf numFmtId="0" fontId="10" fillId="6" borderId="3" xfId="1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10" fillId="7" borderId="4" xfId="1" applyFont="1" applyFill="1" applyBorder="1" applyAlignment="1">
      <alignment horizontal="center" vertical="center"/>
    </xf>
    <xf numFmtId="0" fontId="10" fillId="7" borderId="3" xfId="1" applyFont="1" applyFill="1" applyBorder="1" applyAlignment="1">
      <alignment horizontal="center" vertical="center"/>
    </xf>
    <xf numFmtId="3" fontId="22" fillId="0" borderId="0" xfId="0" applyNumberFormat="1" applyFont="1"/>
    <xf numFmtId="3" fontId="21" fillId="0" borderId="0" xfId="0" applyNumberFormat="1" applyFont="1"/>
    <xf numFmtId="0" fontId="4" fillId="15" borderId="4" xfId="0" applyFont="1" applyFill="1" applyBorder="1" applyAlignment="1">
      <alignment horizontal="center" vertical="center"/>
    </xf>
    <xf numFmtId="3" fontId="4" fillId="15" borderId="1" xfId="0" applyNumberFormat="1" applyFont="1" applyFill="1" applyBorder="1" applyAlignment="1">
      <alignment horizontal="center" vertical="center"/>
    </xf>
    <xf numFmtId="3" fontId="4" fillId="15" borderId="4" xfId="0" applyNumberFormat="1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/>
    </xf>
    <xf numFmtId="3" fontId="4" fillId="20" borderId="1" xfId="0" applyNumberFormat="1" applyFont="1" applyFill="1" applyBorder="1" applyAlignment="1">
      <alignment horizontal="center" vertical="center"/>
    </xf>
    <xf numFmtId="3" fontId="4" fillId="20" borderId="4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10" fontId="0" fillId="0" borderId="12" xfId="0" applyNumberFormat="1" applyBorder="1" applyAlignment="1">
      <alignment horizontal="center"/>
    </xf>
    <xf numFmtId="10" fontId="0" fillId="0" borderId="0" xfId="0" applyNumberFormat="1"/>
    <xf numFmtId="10" fontId="0" fillId="0" borderId="0" xfId="3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40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3" fontId="5" fillId="0" borderId="27" xfId="2" applyNumberFormat="1" applyFont="1" applyBorder="1" applyAlignment="1">
      <alignment horizontal="center" vertical="center"/>
    </xf>
    <xf numFmtId="0" fontId="25" fillId="5" borderId="12" xfId="0" applyFont="1" applyFill="1" applyBorder="1" applyAlignment="1">
      <alignment horizontal="center" vertical="center"/>
    </xf>
    <xf numFmtId="3" fontId="25" fillId="5" borderId="12" xfId="0" applyNumberFormat="1" applyFont="1" applyFill="1" applyBorder="1" applyAlignment="1">
      <alignment horizontal="center" vertical="center"/>
    </xf>
    <xf numFmtId="0" fontId="0" fillId="0" borderId="12" xfId="0" quotePrefix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pivotButton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27" fillId="0" borderId="12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3" fillId="21" borderId="12" xfId="0" applyFont="1" applyFill="1" applyBorder="1" applyAlignment="1">
      <alignment horizontal="center"/>
    </xf>
    <xf numFmtId="3" fontId="23" fillId="21" borderId="12" xfId="0" applyNumberFormat="1" applyFont="1" applyFill="1" applyBorder="1" applyAlignment="1">
      <alignment horizontal="center"/>
    </xf>
    <xf numFmtId="0" fontId="23" fillId="22" borderId="36" xfId="0" applyFont="1" applyFill="1" applyBorder="1" applyAlignment="1">
      <alignment horizontal="right"/>
    </xf>
    <xf numFmtId="3" fontId="23" fillId="22" borderId="12" xfId="0" applyNumberFormat="1" applyFont="1" applyFill="1" applyBorder="1" applyAlignment="1">
      <alignment horizontal="center"/>
    </xf>
    <xf numFmtId="0" fontId="23" fillId="5" borderId="12" xfId="0" applyFont="1" applyFill="1" applyBorder="1" applyAlignment="1">
      <alignment horizontal="center" vertical="center"/>
    </xf>
    <xf numFmtId="3" fontId="23" fillId="5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23" fillId="12" borderId="12" xfId="0" applyFont="1" applyFill="1" applyBorder="1" applyAlignment="1">
      <alignment horizontal="center" vertical="center"/>
    </xf>
    <xf numFmtId="0" fontId="23" fillId="19" borderId="12" xfId="0" applyFont="1" applyFill="1" applyBorder="1" applyAlignment="1">
      <alignment horizontal="center"/>
    </xf>
    <xf numFmtId="0" fontId="23" fillId="15" borderId="12" xfId="0" applyFont="1" applyFill="1" applyBorder="1" applyAlignment="1">
      <alignment horizontal="center"/>
    </xf>
    <xf numFmtId="0" fontId="23" fillId="17" borderId="12" xfId="0" applyFont="1" applyFill="1" applyBorder="1" applyAlignment="1">
      <alignment horizontal="center" vertical="center"/>
    </xf>
    <xf numFmtId="0" fontId="23" fillId="21" borderId="12" xfId="0" applyFont="1" applyFill="1" applyBorder="1" applyAlignment="1">
      <alignment horizontal="center"/>
    </xf>
    <xf numFmtId="0" fontId="23" fillId="22" borderId="31" xfId="0" applyFont="1" applyFill="1" applyBorder="1" applyAlignment="1">
      <alignment horizontal="right"/>
    </xf>
    <xf numFmtId="0" fontId="23" fillId="22" borderId="28" xfId="0" applyFont="1" applyFill="1" applyBorder="1" applyAlignment="1">
      <alignment horizontal="right"/>
    </xf>
    <xf numFmtId="0" fontId="23" fillId="22" borderId="36" xfId="0" applyFont="1" applyFill="1" applyBorder="1" applyAlignment="1">
      <alignment horizontal="right"/>
    </xf>
    <xf numFmtId="0" fontId="5" fillId="18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3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4">
    <cellStyle name="Normal" xfId="0" builtinId="0"/>
    <cellStyle name="Normal 4" xfId="2" xr:uid="{A9019A0D-BAD1-451C-98E0-276125972DEB}"/>
    <cellStyle name="Normal 4 2" xfId="1" xr:uid="{5C0AD2D9-958F-41A9-AF37-3F3847A411EC}"/>
    <cellStyle name="Porcentagem" xfId="3" builtinId="5"/>
  </cellStyles>
  <dxfs count="52"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Totais  (Cursos, Vagas, Matriculados e Qualificados 2023 a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  <a:sp3d>
          <a:contourClr>
            <a:schemeClr val="tx1">
              <a:lumMod val="15000"/>
              <a:lumOff val="85000"/>
            </a:schemeClr>
          </a:contourClr>
        </a:sp3d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total!$AJ$3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flat"/>
          </c:spPr>
          <c:invertIfNegative val="0"/>
          <c:dLbls>
            <c:dLbl>
              <c:idx val="0"/>
              <c:layout>
                <c:manualLayout>
                  <c:x val="3.1591167507563989E-3"/>
                  <c:y val="-1.2212644645313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36-44E7-8221-56CD5B8A7D3B}"/>
                </c:ext>
              </c:extLst>
            </c:dLbl>
            <c:dLbl>
              <c:idx val="1"/>
              <c:layout>
                <c:manualLayout>
                  <c:x val="-1.8236282210241848E-2"/>
                  <c:y val="-4.04905863271194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48B-481A-8D93-A25CC4BF758C}"/>
                </c:ext>
              </c:extLst>
            </c:dLbl>
            <c:dLbl>
              <c:idx val="2"/>
              <c:layout>
                <c:manualLayout>
                  <c:x val="-6.4080408420231277E-3"/>
                  <c:y val="-4.0803620035202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48B-481A-8D93-A25CC4BF758C}"/>
                </c:ext>
              </c:extLst>
            </c:dLbl>
            <c:dLbl>
              <c:idx val="3"/>
              <c:layout>
                <c:manualLayout>
                  <c:x val="-1.3973712208894843E-2"/>
                  <c:y val="-6.80905384846686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48B-481A-8D93-A25CC4BF758C}"/>
                </c:ext>
              </c:extLst>
            </c:dLbl>
            <c:dLbl>
              <c:idx val="4"/>
              <c:layout>
                <c:manualLayout>
                  <c:x val="-1.3325452311109766E-2"/>
                  <c:y val="-2.4573097414905629E-2"/>
                </c:manualLayout>
              </c:layout>
              <c:tx>
                <c:rich>
                  <a:bodyPr/>
                  <a:lstStyle/>
                  <a:p>
                    <a:fld id="{806227AC-718C-46F8-AC7E-9D4C1F1A7E8B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{806227AC-718C-46F8-AC7E-9D4C1F1A7E8B}</c15:txfldGUID>
                      <c15:f>total!$AO$3</c15:f>
                      <c15:dlblFieldTableCache>
                        <c:ptCount val="1"/>
                        <c:pt idx="0">
                          <c:v>26+DF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548B-481A-8D93-A25CC4BF7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total!$AK$2:$AO$2</c:f>
              <c:strCache>
                <c:ptCount val="5"/>
                <c:pt idx="0">
                  <c:v>Cursos</c:v>
                </c:pt>
                <c:pt idx="1">
                  <c:v> Vagas</c:v>
                </c:pt>
                <c:pt idx="2">
                  <c:v>Matriculados</c:v>
                </c:pt>
                <c:pt idx="3">
                  <c:v>Qualificados</c:v>
                </c:pt>
                <c:pt idx="4">
                  <c:v>Total de Estados</c:v>
                </c:pt>
              </c:strCache>
            </c:strRef>
          </c:cat>
          <c:val>
            <c:numRef>
              <c:f>total!$AK$3:$AO$3</c:f>
              <c:numCache>
                <c:formatCode>#,##0</c:formatCode>
                <c:ptCount val="5"/>
                <c:pt idx="0">
                  <c:v>33</c:v>
                </c:pt>
                <c:pt idx="1">
                  <c:v>11990</c:v>
                </c:pt>
                <c:pt idx="2">
                  <c:v>8397</c:v>
                </c:pt>
                <c:pt idx="3">
                  <c:v>3986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B-481A-8D93-A25CC4BF758C}"/>
            </c:ext>
          </c:extLst>
        </c:ser>
        <c:ser>
          <c:idx val="1"/>
          <c:order val="1"/>
          <c:tx>
            <c:strRef>
              <c:f>total!$AJ$4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flat"/>
          </c:spPr>
          <c:invertIfNegative val="0"/>
          <c:dLbls>
            <c:dLbl>
              <c:idx val="0"/>
              <c:layout>
                <c:manualLayout>
                  <c:x val="6.976024280879632E-3"/>
                  <c:y val="-1.72126630471840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8B-481A-8D93-A25CC4BF758C}"/>
                </c:ext>
              </c:extLst>
            </c:dLbl>
            <c:dLbl>
              <c:idx val="1"/>
              <c:layout>
                <c:manualLayout>
                  <c:x val="-4.4311285715463937E-2"/>
                  <c:y val="-3.13923233732355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48B-481A-8D93-A25CC4BF758C}"/>
                </c:ext>
              </c:extLst>
            </c:dLbl>
            <c:dLbl>
              <c:idx val="2"/>
              <c:layout>
                <c:manualLayout>
                  <c:x val="-1.6978251127856857E-2"/>
                  <c:y val="-5.30232136984057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48B-481A-8D93-A25CC4BF758C}"/>
                </c:ext>
              </c:extLst>
            </c:dLbl>
            <c:dLbl>
              <c:idx val="3"/>
              <c:layout>
                <c:manualLayout>
                  <c:x val="-1.2082816713998723E-2"/>
                  <c:y val="-6.818240494379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48B-481A-8D93-A25CC4BF758C}"/>
                </c:ext>
              </c:extLst>
            </c:dLbl>
            <c:dLbl>
              <c:idx val="4"/>
              <c:layout>
                <c:manualLayout>
                  <c:x val="3.1591167507563846E-3"/>
                  <c:y val="-2.4573187302157649E-2"/>
                </c:manualLayout>
              </c:layout>
              <c:tx>
                <c:rich>
                  <a:bodyPr/>
                  <a:lstStyle/>
                  <a:p>
                    <a:fld id="{6089AD9F-3F6E-492D-A593-A7CF1B2EC134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{6089AD9F-3F6E-492D-A593-A7CF1B2EC134}</c15:txfldGUID>
                      <c15:f>total!$AO$4</c15:f>
                      <c15:dlblFieldTableCache>
                        <c:ptCount val="1"/>
                        <c:pt idx="0">
                          <c:v>26+DF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548B-481A-8D93-A25CC4BF7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total!$AK$2:$AO$2</c:f>
              <c:strCache>
                <c:ptCount val="5"/>
                <c:pt idx="0">
                  <c:v>Cursos</c:v>
                </c:pt>
                <c:pt idx="1">
                  <c:v> Vagas</c:v>
                </c:pt>
                <c:pt idx="2">
                  <c:v>Matriculados</c:v>
                </c:pt>
                <c:pt idx="3">
                  <c:v>Qualificados</c:v>
                </c:pt>
                <c:pt idx="4">
                  <c:v>Total de Estados</c:v>
                </c:pt>
              </c:strCache>
            </c:strRef>
          </c:cat>
          <c:val>
            <c:numRef>
              <c:f>total!$AK$4:$AO$4</c:f>
              <c:numCache>
                <c:formatCode>#,##0</c:formatCode>
                <c:ptCount val="5"/>
                <c:pt idx="0">
                  <c:v>119</c:v>
                </c:pt>
                <c:pt idx="1">
                  <c:v>16148</c:v>
                </c:pt>
                <c:pt idx="2">
                  <c:v>9438</c:v>
                </c:pt>
                <c:pt idx="3">
                  <c:v>5838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8B-481A-8D93-A25CC4BF758C}"/>
            </c:ext>
          </c:extLst>
        </c:ser>
        <c:ser>
          <c:idx val="2"/>
          <c:order val="2"/>
          <c:tx>
            <c:strRef>
              <c:f>total!$AJ$5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flat"/>
          </c:spPr>
          <c:invertIfNegative val="0"/>
          <c:dLbls>
            <c:dLbl>
              <c:idx val="0"/>
              <c:layout>
                <c:manualLayout>
                  <c:x val="7.9756504235828311E-3"/>
                  <c:y val="-1.71469377322445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8B-481A-8D93-A25CC4BF758C}"/>
                </c:ext>
              </c:extLst>
            </c:dLbl>
            <c:dLbl>
              <c:idx val="1"/>
              <c:layout>
                <c:manualLayout>
                  <c:x val="-2.4953882274023141E-2"/>
                  <c:y val="-3.401515301748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48B-481A-8D93-A25CC4BF758C}"/>
                </c:ext>
              </c:extLst>
            </c:dLbl>
            <c:dLbl>
              <c:idx val="2"/>
              <c:layout>
                <c:manualLayout>
                  <c:x val="-5.6281275515954944E-2"/>
                  <c:y val="-2.95075022104777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48B-481A-8D93-A25CC4BF758C}"/>
                </c:ext>
              </c:extLst>
            </c:dLbl>
            <c:dLbl>
              <c:idx val="3"/>
              <c:layout>
                <c:manualLayout>
                  <c:x val="-1.992285762200337E-3"/>
                  <c:y val="-0.10141723945332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48B-481A-8D93-A25CC4BF758C}"/>
                </c:ext>
              </c:extLst>
            </c:dLbl>
            <c:dLbl>
              <c:idx val="4"/>
              <c:layout>
                <c:manualLayout>
                  <c:x val="3.3310771767247109E-2"/>
                  <c:y val="-2.4589534936722064E-2"/>
                </c:manualLayout>
              </c:layout>
              <c:tx>
                <c:rich>
                  <a:bodyPr/>
                  <a:lstStyle/>
                  <a:p>
                    <a:fld id="{BC068A64-4DCD-4CFC-AB66-DF443129AF02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{BC068A64-4DCD-4CFC-AB66-DF443129AF02}</c15:txfldGUID>
                      <c15:f>total!$AO$5</c15:f>
                      <c15:dlblFieldTableCache>
                        <c:ptCount val="1"/>
                        <c:pt idx="0">
                          <c:v>26+DF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548B-481A-8D93-A25CC4BF7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total!$AK$2:$AO$2</c:f>
              <c:strCache>
                <c:ptCount val="5"/>
                <c:pt idx="0">
                  <c:v>Cursos</c:v>
                </c:pt>
                <c:pt idx="1">
                  <c:v> Vagas</c:v>
                </c:pt>
                <c:pt idx="2">
                  <c:v>Matriculados</c:v>
                </c:pt>
                <c:pt idx="3">
                  <c:v>Qualificados</c:v>
                </c:pt>
                <c:pt idx="4">
                  <c:v>Total de Estados</c:v>
                </c:pt>
              </c:strCache>
            </c:strRef>
          </c:cat>
          <c:val>
            <c:numRef>
              <c:f>total!$AK$5:$AO$5</c:f>
              <c:numCache>
                <c:formatCode>#,##0</c:formatCode>
                <c:ptCount val="5"/>
                <c:pt idx="0">
                  <c:v>202</c:v>
                </c:pt>
                <c:pt idx="1">
                  <c:v>15390</c:v>
                </c:pt>
                <c:pt idx="2">
                  <c:v>13595</c:v>
                </c:pt>
                <c:pt idx="3">
                  <c:v>6924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8B-481A-8D93-A25CC4BF758C}"/>
            </c:ext>
          </c:extLst>
        </c:ser>
        <c:ser>
          <c:idx val="3"/>
          <c:order val="3"/>
          <c:tx>
            <c:strRef>
              <c:f>total!$AJ$6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flat"/>
          </c:spPr>
          <c:invertIfNegative val="0"/>
          <c:dLbls>
            <c:dLbl>
              <c:idx val="0"/>
              <c:layout>
                <c:manualLayout>
                  <c:x val="1.1480193433275667E-2"/>
                  <c:y val="-2.4310783666050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48B-481A-8D93-A25CC4BF758C}"/>
                </c:ext>
              </c:extLst>
            </c:dLbl>
            <c:dLbl>
              <c:idx val="1"/>
              <c:layout>
                <c:manualLayout>
                  <c:x val="1.9141450673272838E-2"/>
                  <c:y val="-1.7212693712991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48B-481A-8D93-A25CC4BF758C}"/>
                </c:ext>
              </c:extLst>
            </c:dLbl>
            <c:dLbl>
              <c:idx val="2"/>
              <c:layout>
                <c:manualLayout>
                  <c:x val="2.0736571562712188E-2"/>
                  <c:y val="-2.2130606202417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48B-481A-8D93-A25CC4BF758C}"/>
                </c:ext>
              </c:extLst>
            </c:dLbl>
            <c:dLbl>
              <c:idx val="3"/>
              <c:layout>
                <c:manualLayout>
                  <c:x val="2.0752163310913556E-2"/>
                  <c:y val="-7.8275936147293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48B-481A-8D93-A25CC4BF758C}"/>
                </c:ext>
              </c:extLst>
            </c:dLbl>
            <c:dLbl>
              <c:idx val="4"/>
              <c:layout>
                <c:manualLayout>
                  <c:x val="3.3167593603175866E-2"/>
                  <c:y val="-2.6922743011890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48B-481A-8D93-A25CC4BF7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total!$AK$2:$AO$2</c:f>
              <c:strCache>
                <c:ptCount val="5"/>
                <c:pt idx="0">
                  <c:v>Cursos</c:v>
                </c:pt>
                <c:pt idx="1">
                  <c:v> Vagas</c:v>
                </c:pt>
                <c:pt idx="2">
                  <c:v>Matriculados</c:v>
                </c:pt>
                <c:pt idx="3">
                  <c:v>Qualificados</c:v>
                </c:pt>
                <c:pt idx="4">
                  <c:v>Total de Estados</c:v>
                </c:pt>
              </c:strCache>
            </c:strRef>
          </c:cat>
          <c:val>
            <c:numRef>
              <c:f>total!$AK$6:$AO$6</c:f>
              <c:numCache>
                <c:formatCode>#,##0</c:formatCode>
                <c:ptCount val="5"/>
                <c:pt idx="0">
                  <c:v>359</c:v>
                </c:pt>
                <c:pt idx="1">
                  <c:v>57237</c:v>
                </c:pt>
                <c:pt idx="2">
                  <c:v>2441</c:v>
                </c:pt>
                <c:pt idx="3">
                  <c:v>1953</c:v>
                </c:pt>
                <c:pt idx="4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8B-481A-8D93-A25CC4BF75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2"/>
        <c:gapDepth val="0"/>
        <c:shape val="box"/>
        <c:axId val="568300383"/>
        <c:axId val="568300863"/>
        <c:axId val="0"/>
      </c:bar3DChart>
      <c:catAx>
        <c:axId val="5683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300863"/>
        <c:crosses val="autoZero"/>
        <c:auto val="1"/>
        <c:lblAlgn val="ctr"/>
        <c:lblOffset val="100"/>
        <c:noMultiLvlLbl val="0"/>
      </c:catAx>
      <c:valAx>
        <c:axId val="56830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3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% Ano a Ano (2023 a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total!$AC$72</c:f>
              <c:strCache>
                <c:ptCount val="1"/>
                <c:pt idx="0">
                  <c:v>2023 a 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 prstMaterial="dkEdge"/>
          </c:spPr>
          <c:invertIfNegative val="0"/>
          <c:dLbls>
            <c:dLbl>
              <c:idx val="0"/>
              <c:layout>
                <c:manualLayout>
                  <c:x val="0.10402262372321174"/>
                  <c:y val="-3.28411175274374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C77-4B8B-8294-2FD17CADDA15}"/>
                </c:ext>
              </c:extLst>
            </c:dLbl>
            <c:dLbl>
              <c:idx val="1"/>
              <c:layout>
                <c:manualLayout>
                  <c:x val="9.8256201495939555E-2"/>
                  <c:y val="-9.46106448794290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C77-4B8B-8294-2FD17CADDA15}"/>
                </c:ext>
              </c:extLst>
            </c:dLbl>
            <c:dLbl>
              <c:idx val="2"/>
              <c:layout>
                <c:manualLayout>
                  <c:x val="9.6487563728248571E-2"/>
                  <c:y val="-7.1001628044390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C77-4B8B-8294-2FD17CADDA15}"/>
                </c:ext>
              </c:extLst>
            </c:dLbl>
            <c:dLbl>
              <c:idx val="3"/>
              <c:layout>
                <c:manualLayout>
                  <c:x val="0.10281461708747799"/>
                  <c:y val="-7.83466240489820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C77-4B8B-8294-2FD17CADDA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total!$AD$70:$AG$71</c:f>
              <c:strCache>
                <c:ptCount val="4"/>
                <c:pt idx="0">
                  <c:v>Cursos</c:v>
                </c:pt>
                <c:pt idx="1">
                  <c:v> Vagas</c:v>
                </c:pt>
                <c:pt idx="2">
                  <c:v>Matriculados</c:v>
                </c:pt>
                <c:pt idx="3">
                  <c:v>Qualificados</c:v>
                </c:pt>
              </c:strCache>
            </c:strRef>
          </c:cat>
          <c:val>
            <c:numRef>
              <c:f>total!$AD$72:$AG$72</c:f>
              <c:numCache>
                <c:formatCode>0.00%</c:formatCode>
                <c:ptCount val="4"/>
                <c:pt idx="0">
                  <c:v>2.606060606060606</c:v>
                </c:pt>
                <c:pt idx="1">
                  <c:v>0.34678899082568809</c:v>
                </c:pt>
                <c:pt idx="2">
                  <c:v>0.12397284744551626</c:v>
                </c:pt>
                <c:pt idx="3">
                  <c:v>0.46462619167084795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7-4B8B-8294-2FD17CADDA15}"/>
            </c:ext>
          </c:extLst>
        </c:ser>
        <c:ser>
          <c:idx val="1"/>
          <c:order val="1"/>
          <c:tx>
            <c:strRef>
              <c:f>total!$AC$73</c:f>
              <c:strCache>
                <c:ptCount val="1"/>
                <c:pt idx="0">
                  <c:v>2024 a 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 prstMaterial="dkEdge"/>
          </c:spPr>
          <c:invertIfNegative val="0"/>
          <c:dLbls>
            <c:dLbl>
              <c:idx val="0"/>
              <c:layout>
                <c:manualLayout>
                  <c:x val="0.10560432054418893"/>
                  <c:y val="-3.27699309252670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77-4B8B-8294-2FD17CADDA15}"/>
                </c:ext>
              </c:extLst>
            </c:dLbl>
            <c:dLbl>
              <c:idx val="1"/>
              <c:layout>
                <c:manualLayout>
                  <c:x val="9.9651073353894698E-2"/>
                  <c:y val="-4.18799907055852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C77-4B8B-8294-2FD17CADDA15}"/>
                </c:ext>
              </c:extLst>
            </c:dLbl>
            <c:dLbl>
              <c:idx val="2"/>
              <c:layout>
                <c:manualLayout>
                  <c:x val="9.6487563728248571E-2"/>
                  <c:y val="-0.10038161206275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C77-4B8B-8294-2FD17CADDA15}"/>
                </c:ext>
              </c:extLst>
            </c:dLbl>
            <c:dLbl>
              <c:idx val="3"/>
              <c:layout>
                <c:manualLayout>
                  <c:x val="0.10188012251587865"/>
                  <c:y val="-0.105278182779100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C77-4B8B-8294-2FD17CADDA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total!$AD$70:$AG$71</c:f>
              <c:strCache>
                <c:ptCount val="4"/>
                <c:pt idx="0">
                  <c:v>Cursos</c:v>
                </c:pt>
                <c:pt idx="1">
                  <c:v> Vagas</c:v>
                </c:pt>
                <c:pt idx="2">
                  <c:v>Matriculados</c:v>
                </c:pt>
                <c:pt idx="3">
                  <c:v>Qualificados</c:v>
                </c:pt>
              </c:strCache>
            </c:strRef>
          </c:cat>
          <c:val>
            <c:numRef>
              <c:f>total!$AD$73:$AG$73</c:f>
              <c:numCache>
                <c:formatCode>0.00%</c:formatCode>
                <c:ptCount val="4"/>
                <c:pt idx="0">
                  <c:v>0.69747899159663862</c:v>
                </c:pt>
                <c:pt idx="1">
                  <c:v>-4.694079762199653E-2</c:v>
                </c:pt>
                <c:pt idx="2">
                  <c:v>0.44045348590803135</c:v>
                </c:pt>
                <c:pt idx="3">
                  <c:v>0.18602261048304214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7-4B8B-8294-2FD17CADDA15}"/>
            </c:ext>
          </c:extLst>
        </c:ser>
        <c:ser>
          <c:idx val="2"/>
          <c:order val="2"/>
          <c:tx>
            <c:strRef>
              <c:f>total!$AC$74</c:f>
              <c:strCache>
                <c:ptCount val="1"/>
                <c:pt idx="0">
                  <c:v>2025 a 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 prstMaterial="dkEdge"/>
          </c:spPr>
          <c:invertIfNegative val="0"/>
          <c:dLbls>
            <c:dLbl>
              <c:idx val="0"/>
              <c:layout>
                <c:manualLayout>
                  <c:x val="0.10244081706980472"/>
                  <c:y val="-6.2824549302106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C77-4B8B-8294-2FD17CADDA15}"/>
                </c:ext>
              </c:extLst>
            </c:dLbl>
            <c:dLbl>
              <c:idx val="1"/>
              <c:layout>
                <c:manualLayout>
                  <c:x val="9.3510891368148427E-2"/>
                  <c:y val="-5.34202515661508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C77-4B8B-8294-2FD17CADDA15}"/>
                </c:ext>
              </c:extLst>
            </c:dLbl>
            <c:dLbl>
              <c:idx val="2"/>
              <c:layout>
                <c:manualLayout>
                  <c:x val="9.6487563728248571E-2"/>
                  <c:y val="4.1621644026021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C77-4B8B-8294-2FD17CADDA15}"/>
                </c:ext>
              </c:extLst>
            </c:dLbl>
            <c:dLbl>
              <c:idx val="3"/>
              <c:layout>
                <c:manualLayout>
                  <c:x val="9.8069327068055934E-2"/>
                  <c:y val="5.38633040336751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C77-4B8B-8294-2FD17CADDA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total!$AD$70:$AG$71</c:f>
              <c:strCache>
                <c:ptCount val="4"/>
                <c:pt idx="0">
                  <c:v>Cursos</c:v>
                </c:pt>
                <c:pt idx="1">
                  <c:v> Vagas</c:v>
                </c:pt>
                <c:pt idx="2">
                  <c:v>Matriculados</c:v>
                </c:pt>
                <c:pt idx="3">
                  <c:v>Qualificados</c:v>
                </c:pt>
              </c:strCache>
            </c:strRef>
          </c:cat>
          <c:val>
            <c:numRef>
              <c:f>total!$AD$74:$AG$74</c:f>
              <c:numCache>
                <c:formatCode>0.00%</c:formatCode>
                <c:ptCount val="4"/>
                <c:pt idx="0">
                  <c:v>0.77722772277227725</c:v>
                </c:pt>
                <c:pt idx="1">
                  <c:v>2.7191033138401561</c:v>
                </c:pt>
                <c:pt idx="2">
                  <c:v>-0.82044869437293122</c:v>
                </c:pt>
                <c:pt idx="3">
                  <c:v>-0.71793760831889086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77-4B8B-8294-2FD17CADDA15}"/>
            </c:ext>
          </c:extLst>
        </c:ser>
        <c:ser>
          <c:idx val="3"/>
          <c:order val="3"/>
          <c:tx>
            <c:strRef>
              <c:f>total!$AC$75</c:f>
              <c:strCache>
                <c:ptCount val="1"/>
                <c:pt idx="0">
                  <c:v>2023 a 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 prstMaterial="dkEdge"/>
            </c:spPr>
            <c:extLst>
              <c:ext xmlns:c16="http://schemas.microsoft.com/office/drawing/2014/chart" uri="{C3380CC4-5D6E-409C-BE32-E72D297353CC}">
                <c16:uniqueId val="{00000006-AC77-4B8B-8294-2FD17CADDA15}"/>
              </c:ext>
            </c:extLst>
          </c:dPt>
          <c:dLbls>
            <c:dLbl>
              <c:idx val="0"/>
              <c:layout>
                <c:manualLayout>
                  <c:x val="0.11388696046612941"/>
                  <c:y val="-9.05882840566355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C77-4B8B-8294-2FD17CADDA15}"/>
                </c:ext>
              </c:extLst>
            </c:dLbl>
            <c:dLbl>
              <c:idx val="1"/>
              <c:layout>
                <c:manualLayout>
                  <c:x val="9.6027152333955604E-2"/>
                  <c:y val="-5.95087138789597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C77-4B8B-8294-2FD17CADDA15}"/>
                </c:ext>
              </c:extLst>
            </c:dLbl>
            <c:dLbl>
              <c:idx val="2"/>
              <c:layout>
                <c:manualLayout>
                  <c:x val="9.8069327068055934E-2"/>
                  <c:y val="-0.127313264079595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C77-4B8B-8294-2FD17CADDA15}"/>
                </c:ext>
              </c:extLst>
            </c:dLbl>
            <c:dLbl>
              <c:idx val="3"/>
              <c:layout>
                <c:manualLayout>
                  <c:x val="0.10346192916928572"/>
                  <c:y val="-0.132209877320917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77-4B8B-8294-2FD17CADDA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total!$AD$70:$AG$71</c:f>
              <c:strCache>
                <c:ptCount val="4"/>
                <c:pt idx="0">
                  <c:v>Cursos</c:v>
                </c:pt>
                <c:pt idx="1">
                  <c:v> Vagas</c:v>
                </c:pt>
                <c:pt idx="2">
                  <c:v>Matriculados</c:v>
                </c:pt>
                <c:pt idx="3">
                  <c:v>Qualificados</c:v>
                </c:pt>
              </c:strCache>
            </c:strRef>
          </c:cat>
          <c:val>
            <c:numRef>
              <c:f>total!$AD$75:$AG$75</c:f>
              <c:numCache>
                <c:formatCode>0.00%</c:formatCode>
                <c:ptCount val="4"/>
                <c:pt idx="0">
                  <c:v>5.1212121212121211</c:v>
                </c:pt>
                <c:pt idx="1">
                  <c:v>0.28356964136780649</c:v>
                </c:pt>
                <c:pt idx="2">
                  <c:v>0.61903060616886985</c:v>
                </c:pt>
                <c:pt idx="3">
                  <c:v>0.73707977922729551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77-4B8B-8294-2FD17CADDA15}"/>
            </c:ext>
          </c:extLst>
        </c:ser>
        <c:ser>
          <c:idx val="4"/>
          <c:order val="4"/>
          <c:tx>
            <c:strRef>
              <c:f>total!$AC$76</c:f>
              <c:strCache>
                <c:ptCount val="1"/>
                <c:pt idx="0">
                  <c:v>2023 a 2026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 prstMaterial="dkEdge"/>
          </c:spPr>
          <c:invertIfNegative val="0"/>
          <c:dLbls>
            <c:dLbl>
              <c:idx val="0"/>
              <c:layout>
                <c:manualLayout>
                  <c:x val="0.10123285374767063"/>
                  <c:y val="2.4483320015306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C77-4B8B-8294-2FD17CADDA15}"/>
                </c:ext>
              </c:extLst>
            </c:dLbl>
            <c:dLbl>
              <c:idx val="1"/>
              <c:layout>
                <c:manualLayout>
                  <c:x val="9.909037879996857E-2"/>
                  <c:y val="-4.8771583914675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C77-4B8B-8294-2FD17CADDA15}"/>
                </c:ext>
              </c:extLst>
            </c:dLbl>
            <c:dLbl>
              <c:idx val="2"/>
              <c:layout>
                <c:manualLayout>
                  <c:x val="9.8069327068055934E-2"/>
                  <c:y val="2.20349880137762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C77-4B8B-8294-2FD17CADDA15}"/>
                </c:ext>
              </c:extLst>
            </c:dLbl>
            <c:dLbl>
              <c:idx val="3"/>
              <c:layout>
                <c:manualLayout>
                  <c:x val="0.10123285374767063"/>
                  <c:y val="2.9379984018368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C77-4B8B-8294-2FD17CADDA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total!$AD$70:$AG$71</c:f>
              <c:strCache>
                <c:ptCount val="4"/>
                <c:pt idx="0">
                  <c:v>Cursos</c:v>
                </c:pt>
                <c:pt idx="1">
                  <c:v> Vagas</c:v>
                </c:pt>
                <c:pt idx="2">
                  <c:v>Matriculados</c:v>
                </c:pt>
                <c:pt idx="3">
                  <c:v>Qualificados</c:v>
                </c:pt>
              </c:strCache>
            </c:strRef>
          </c:cat>
          <c:val>
            <c:numRef>
              <c:f>total!$AD$76:$AG$76</c:f>
              <c:numCache>
                <c:formatCode>0.00%</c:formatCode>
                <c:ptCount val="4"/>
                <c:pt idx="0">
                  <c:v>9.8787878787878789</c:v>
                </c:pt>
                <c:pt idx="1">
                  <c:v>3.7737281067556299</c:v>
                </c:pt>
                <c:pt idx="2">
                  <c:v>-0.70930094081219486</c:v>
                </c:pt>
                <c:pt idx="3">
                  <c:v>-0.51003512293025588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77-4B8B-8294-2FD17CADDA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8"/>
        <c:gapDepth val="0"/>
        <c:shape val="cylinder"/>
        <c:axId val="551306543"/>
        <c:axId val="551307023"/>
        <c:axId val="0"/>
      </c:bar3DChart>
      <c:catAx>
        <c:axId val="55130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1307023"/>
        <c:crosses val="autoZero"/>
        <c:auto val="1"/>
        <c:lblAlgn val="ctr"/>
        <c:lblOffset val="100"/>
        <c:noMultiLvlLbl val="0"/>
      </c:catAx>
      <c:valAx>
        <c:axId val="55130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1306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Geral!$C$1</c:f>
              <c:strCache>
                <c:ptCount val="1"/>
                <c:pt idx="0">
                  <c:v>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Geral!$A$2:$B$70</c:f>
              <c:multiLvlStrCache>
                <c:ptCount val="69"/>
                <c:lvl>
                  <c:pt idx="0">
                    <c:v>PREFEITURA MUNICIPAL DE CANINDÉ DE SÃO FRANCISCO</c:v>
                  </c:pt>
                  <c:pt idx="1">
                    <c:v>Prefeitura Municipal de Trajano de Moraes</c:v>
                  </c:pt>
                  <c:pt idx="2">
                    <c:v>Prefeitura Municipal de Nilópolis</c:v>
                  </c:pt>
                  <c:pt idx="3">
                    <c:v>Municipio de Porangatu</c:v>
                  </c:pt>
                  <c:pt idx="4">
                    <c:v>MUNICÍPIO DE CAPELA</c:v>
                  </c:pt>
                  <c:pt idx="5">
                    <c:v>Prefeitura Municipal de Tibau do Sul</c:v>
                  </c:pt>
                  <c:pt idx="6">
                    <c:v>Município de Iaçu</c:v>
                  </c:pt>
                  <c:pt idx="7">
                    <c:v>PREFEITURA MUNICIPAL DE WENCESLAU GUIMARÃES/BA</c:v>
                  </c:pt>
                  <c:pt idx="8">
                    <c:v>PREFEITURA MUNICIPAL DE SOBRAL</c:v>
                  </c:pt>
                  <c:pt idx="9">
                    <c:v>PREFEITURA MUNICIPAL DE SOBRAL</c:v>
                  </c:pt>
                  <c:pt idx="10">
                    <c:v>Prefeitura Municipal De Careiro</c:v>
                  </c:pt>
                  <c:pt idx="11">
                    <c:v>PREFEITURA MUNICIPAL DE CONDE/PB</c:v>
                  </c:pt>
                  <c:pt idx="12">
                    <c:v>Prefeitura Municipal de Italva</c:v>
                  </c:pt>
                  <c:pt idx="13">
                    <c:v>MUNICIPIO DE NATAL</c:v>
                  </c:pt>
                  <c:pt idx="14">
                    <c:v>MUNICIPIO DE NATAL</c:v>
                  </c:pt>
                  <c:pt idx="15">
                    <c:v>Secretaria Estadual de Turismo do Rio Grande do Norte SETUR-RN</c:v>
                  </c:pt>
                  <c:pt idx="16">
                    <c:v>EMPRESA ESTADUAL DE TURISMO - AMAZONASTUR</c:v>
                  </c:pt>
                  <c:pt idx="17">
                    <c:v>EMPRESA ESTADUAL DE TURISMO - AMAZONASTUR</c:v>
                  </c:pt>
                  <c:pt idx="18">
                    <c:v>SECRETARIA DE ESTADO ECONOMICO DO PIAUÍ – SDE - Teresina/PI</c:v>
                  </c:pt>
                  <c:pt idx="19">
                    <c:v>SECRETARIA DE ESTADO ECONOMICO DO PIAUÍ – SDE - Parnaíba/PI</c:v>
                  </c:pt>
                  <c:pt idx="20">
                    <c:v>SECRETARIA DE ESTADO ECONOMICO DO PIAUÍ – SDE - Luzilândia/PI</c:v>
                  </c:pt>
                  <c:pt idx="21">
                    <c:v>SECRETARIA DE ESTADO DE ASSISTENCIA SOCIAL, TRABALHO, EMPREGO E RENDA -SEASTER</c:v>
                  </c:pt>
                  <c:pt idx="22">
                    <c:v>Secretaria de Estado de Turismo – SETUR - PA</c:v>
                  </c:pt>
                  <c:pt idx="23">
                    <c:v>ESTADO DO ACRE</c:v>
                  </c:pt>
                  <c:pt idx="24">
                    <c:v>Instituto Federal de Educação, Ciência e Tecnologia do Maranhão - IFMA</c:v>
                  </c:pt>
                  <c:pt idx="25">
                    <c:v>Instituto Federal de Educação, Ciência e Tecnologia Do Piauí – IFPI</c:v>
                  </c:pt>
                  <c:pt idx="26">
                    <c:v>plataforma qualifica turismo (UFMA)</c:v>
                  </c:pt>
                  <c:pt idx="27">
                    <c:v>Instituto Federal de Educação, Ciência e Tecnologia da Paraíba - IFPB</c:v>
                  </c:pt>
                  <c:pt idx="28">
                    <c:v>Instituto Federal de Educação, Ciência e Tecnologia Sul-riograndense (IFSul)</c:v>
                  </c:pt>
                  <c:pt idx="29">
                    <c:v>Escola Nacional de Turismo (IFPA)</c:v>
                  </c:pt>
                  <c:pt idx="30">
                    <c:v>Universidade Federal do Fluminense - UFF</c:v>
                  </c:pt>
                  <c:pt idx="31">
                    <c:v>Instituto Federal de Educação, Ciência e Tecnologia do Tocantins -IFTO</c:v>
                  </c:pt>
                  <c:pt idx="32">
                    <c:v>plataforma qualifica turismo (UFMA)</c:v>
                  </c:pt>
                  <c:pt idx="33">
                    <c:v>Instituto Federal de Educação, Ciência e Tecnologia da Paraíba - IFPB</c:v>
                  </c:pt>
                  <c:pt idx="34">
                    <c:v>Instituto Federal de Educação, Ciência e Tecnologia Sul-riograndense (IFSul)</c:v>
                  </c:pt>
                  <c:pt idx="35">
                    <c:v>Instituto Federal de Educação, Ciência e Tecnologia do Tocantins -IFTO</c:v>
                  </c:pt>
                  <c:pt idx="36">
                    <c:v>Universidade Federal do Tocantins - UFT</c:v>
                  </c:pt>
                  <c:pt idx="37">
                    <c:v>Universidade Federal do Fluminense - UFF</c:v>
                  </c:pt>
                  <c:pt idx="38">
                    <c:v>Escola Nacional de Turismo (IFPA)</c:v>
                  </c:pt>
                  <c:pt idx="39">
                    <c:v>plataforma qualifica turismo (UFMA)</c:v>
                  </c:pt>
                  <c:pt idx="40">
                    <c:v>Universidade Federal do Tocantins - UFT</c:v>
                  </c:pt>
                  <c:pt idx="41">
                    <c:v>Instituto Federal de Educação, Ciência e Tecnologia da Paraíba - IFPB</c:v>
                  </c:pt>
                  <c:pt idx="42">
                    <c:v>Instituto Federal de Educação, Ciência e Tecnologia do Tocantins -IFTO</c:v>
                  </c:pt>
                  <c:pt idx="43">
                    <c:v>Universidade Federal do Fluminense - UFF</c:v>
                  </c:pt>
                  <c:pt idx="44">
                    <c:v>Instituto Federal de Educação, Ciência e Tecnologia do Ceará - IFCE</c:v>
                  </c:pt>
                  <c:pt idx="45">
                    <c:v>Instituto Federal de Educação, Ciência e Tecnologia Sul-riograndense (IFSul)</c:v>
                  </c:pt>
                  <c:pt idx="46">
                    <c:v>SERVIÇO NACIONAL DA APRESENDIZAGEM COMERCIAL - SENAC - AR/RN</c:v>
                  </c:pt>
                  <c:pt idx="47">
                    <c:v>SERVIÇO NACIONAL DA APRESENDIZAGEM COMERCIAL - SENAC - AR/RN</c:v>
                  </c:pt>
                  <c:pt idx="48">
                    <c:v>SERVIÇO NACIONAL DA APRESENDIZAGEM COMERCIAL - SENAC - AR/RN</c:v>
                  </c:pt>
                  <c:pt idx="49">
                    <c:v>SERVICO DE APOIO AS MICRO E PEQUENAS EMPRESAS DE SE - SEBRAE</c:v>
                  </c:pt>
                  <c:pt idx="50">
                    <c:v>ACT Sesc/Senac </c:v>
                  </c:pt>
                  <c:pt idx="51">
                    <c:v>ACT Sesc/Senac</c:v>
                  </c:pt>
                  <c:pt idx="52">
                    <c:v>Senac-PR
</c:v>
                  </c:pt>
                  <c:pt idx="53">
                    <c:v>Senac/PR</c:v>
                  </c:pt>
                  <c:pt idx="54">
                    <c:v>Senac/SC</c:v>
                  </c:pt>
                  <c:pt idx="55">
                    <c:v>Senac-Pará</c:v>
                  </c:pt>
                  <c:pt idx="56">
                    <c:v>Associação Brasileira da Indústria de Hotéis do Rio Grande do Norte - ABIH/RN</c:v>
                  </c:pt>
                  <c:pt idx="57">
                    <c:v>Associação Construir de Assistência Social</c:v>
                  </c:pt>
                  <c:pt idx="58">
                    <c:v>Instituto Conexão</c:v>
                  </c:pt>
                  <c:pt idx="59">
                    <c:v>Instituto Conexão</c:v>
                  </c:pt>
                  <c:pt idx="60">
                    <c:v>INSTITUTO FUTURE DE JUVENTUDE, PROMOÇÃO, TURISMO, CULTURA E DESENVOLVIMENTO SUSTENTÁVEL</c:v>
                  </c:pt>
                  <c:pt idx="61">
                    <c:v>INSTITUTO RESGATE ONG ESCOLA VOLUNTARIA AGRICOLA</c:v>
                  </c:pt>
                  <c:pt idx="62">
                    <c:v>INSTITUTO SOCIAL DE CAPELANIA EDUCACIONAL E CULTURAL DO MARANHAO ISCEC MA</c:v>
                  </c:pt>
                  <c:pt idx="63">
                    <c:v>Instituto Somar Solução Brasil</c:v>
                  </c:pt>
                  <c:pt idx="64">
                    <c:v>FUNDACAO WALL FERRAZ</c:v>
                  </c:pt>
                  <c:pt idx="65">
                    <c:v>INSTITUTO NACIONAL DE PARCERIAS PUBLICAS - INPP</c:v>
                  </c:pt>
                  <c:pt idx="66">
                    <c:v>AT do Brasil</c:v>
                  </c:pt>
                  <c:pt idx="67">
                    <c:v>Incluir Treinamentos</c:v>
                  </c:pt>
                  <c:pt idx="68">
                    <c:v>Universidade Federal do Fluminense - UFF</c:v>
                  </c:pt>
                </c:lvl>
                <c:lvl>
                  <c:pt idx="0">
                    <c:v>PREFEITURAS</c:v>
                  </c:pt>
                  <c:pt idx="1">
                    <c:v>PREFEITURAS</c:v>
                  </c:pt>
                  <c:pt idx="2">
                    <c:v>PREFEITURAS</c:v>
                  </c:pt>
                  <c:pt idx="3">
                    <c:v>PREFEITURAS</c:v>
                  </c:pt>
                  <c:pt idx="4">
                    <c:v>PREFEITURAS</c:v>
                  </c:pt>
                  <c:pt idx="5">
                    <c:v>PREFEITURAS</c:v>
                  </c:pt>
                  <c:pt idx="6">
                    <c:v>PREFEITURAS</c:v>
                  </c:pt>
                  <c:pt idx="7">
                    <c:v>PREFEITURAS</c:v>
                  </c:pt>
                  <c:pt idx="8">
                    <c:v>PREFEITURAS</c:v>
                  </c:pt>
                  <c:pt idx="9">
                    <c:v>PREFEITURAS</c:v>
                  </c:pt>
                  <c:pt idx="10">
                    <c:v>PREFEITURAS</c:v>
                  </c:pt>
                  <c:pt idx="11">
                    <c:v>PREFEITURAS</c:v>
                  </c:pt>
                  <c:pt idx="12">
                    <c:v>PREFEITURAS</c:v>
                  </c:pt>
                  <c:pt idx="13">
                    <c:v>PREFEITURAS</c:v>
                  </c:pt>
                  <c:pt idx="14">
                    <c:v>PREFEITURAS</c:v>
                  </c:pt>
                  <c:pt idx="15">
                    <c:v>ESTADO</c:v>
                  </c:pt>
                  <c:pt idx="16">
                    <c:v>ESTADO</c:v>
                  </c:pt>
                  <c:pt idx="17">
                    <c:v>ESTADO</c:v>
                  </c:pt>
                  <c:pt idx="18">
                    <c:v>ESTADO</c:v>
                  </c:pt>
                  <c:pt idx="19">
                    <c:v>ESTADO</c:v>
                  </c:pt>
                  <c:pt idx="20">
                    <c:v>ESTADO</c:v>
                  </c:pt>
                  <c:pt idx="21">
                    <c:v>ESTADO</c:v>
                  </c:pt>
                  <c:pt idx="22">
                    <c:v>ESTADO</c:v>
                  </c:pt>
                  <c:pt idx="23">
                    <c:v>ESTADO</c:v>
                  </c:pt>
                  <c:pt idx="24">
                    <c:v>INSTITUTOS FEDERAIS</c:v>
                  </c:pt>
                  <c:pt idx="25">
                    <c:v>INSTITUTOS FEDERAIS</c:v>
                  </c:pt>
                  <c:pt idx="26">
                    <c:v>UNIVERSIDADES</c:v>
                  </c:pt>
                  <c:pt idx="27">
                    <c:v>INSTITUTOS FEDERAIS</c:v>
                  </c:pt>
                  <c:pt idx="28">
                    <c:v>INSTITUTOS FEDERAIS</c:v>
                  </c:pt>
                  <c:pt idx="29">
                    <c:v>UNIVERSIDADES</c:v>
                  </c:pt>
                  <c:pt idx="30">
                    <c:v>UNIVERSIDADES</c:v>
                  </c:pt>
                  <c:pt idx="31">
                    <c:v>INSTITUTOS FEDERAIS</c:v>
                  </c:pt>
                  <c:pt idx="32">
                    <c:v>UNIVERSIDADES</c:v>
                  </c:pt>
                  <c:pt idx="33">
                    <c:v>INSTITUTOS FEDERAIS</c:v>
                  </c:pt>
                  <c:pt idx="34">
                    <c:v>INSTITUTOS FEDERAIS</c:v>
                  </c:pt>
                  <c:pt idx="35">
                    <c:v>INSTITUTOS FEDERAIS</c:v>
                  </c:pt>
                  <c:pt idx="36">
                    <c:v>UNIVERSIDADES</c:v>
                  </c:pt>
                  <c:pt idx="37">
                    <c:v>UNIVERSIDADES</c:v>
                  </c:pt>
                  <c:pt idx="38">
                    <c:v>INSTITUTOS FEDERAIS</c:v>
                  </c:pt>
                  <c:pt idx="39">
                    <c:v>UNIVERSIDADES</c:v>
                  </c:pt>
                  <c:pt idx="40">
                    <c:v>UNIVERSIDADES</c:v>
                  </c:pt>
                  <c:pt idx="41">
                    <c:v>INSTITUTOS FEDERAIS</c:v>
                  </c:pt>
                  <c:pt idx="42">
                    <c:v>INSTITUTOS FEDERAIS</c:v>
                  </c:pt>
                  <c:pt idx="43">
                    <c:v>UNIVERSIDADES</c:v>
                  </c:pt>
                  <c:pt idx="44">
                    <c:v>INSTITUTOS FEDERAIS</c:v>
                  </c:pt>
                  <c:pt idx="45">
                    <c:v>INSTITUTOS FEDERAIS</c:v>
                  </c:pt>
                  <c:pt idx="46">
                    <c:v>SISTEMA S</c:v>
                  </c:pt>
                  <c:pt idx="47">
                    <c:v>SISTEMA S</c:v>
                  </c:pt>
                  <c:pt idx="48">
                    <c:v>SISTEMA S</c:v>
                  </c:pt>
                  <c:pt idx="49">
                    <c:v>SISTEMA S</c:v>
                  </c:pt>
                  <c:pt idx="50">
                    <c:v>SISTEMA S</c:v>
                  </c:pt>
                  <c:pt idx="51">
                    <c:v>SISTEMA S</c:v>
                  </c:pt>
                  <c:pt idx="52">
                    <c:v>SISTEMA S</c:v>
                  </c:pt>
                  <c:pt idx="53">
                    <c:v>SISTEMA S</c:v>
                  </c:pt>
                  <c:pt idx="54">
                    <c:v>SISTEMA S</c:v>
                  </c:pt>
                  <c:pt idx="55">
                    <c:v>SISTEMA S</c:v>
                  </c:pt>
                  <c:pt idx="56">
                    <c:v>ORGANIZAÇÕES PARCEIRAS, ONGs</c:v>
                  </c:pt>
                  <c:pt idx="57">
                    <c:v>ORGANIZAÇÕES PARCEIRAS, ONGs</c:v>
                  </c:pt>
                  <c:pt idx="58">
                    <c:v>ORGANIZAÇÕES PARCEIRAS, ONGs</c:v>
                  </c:pt>
                  <c:pt idx="59">
                    <c:v>ORGANIZAÇÕES PARCEIRAS, ONGs</c:v>
                  </c:pt>
                  <c:pt idx="60">
                    <c:v>ORGANIZAÇÕES PARCEIRAS, ONGs</c:v>
                  </c:pt>
                  <c:pt idx="61">
                    <c:v>ORGANIZAÇÕES PARCEIRAS, ONGs</c:v>
                  </c:pt>
                  <c:pt idx="62">
                    <c:v>ORGANIZAÇÕES PARCEIRAS, ONGs</c:v>
                  </c:pt>
                  <c:pt idx="63">
                    <c:v>ORGANIZAÇÕES PARCEIRAS, ONGs</c:v>
                  </c:pt>
                  <c:pt idx="64">
                    <c:v>ESTADO</c:v>
                  </c:pt>
                  <c:pt idx="65">
                    <c:v>ORGANIZAÇÕES PARCEIRAS, ONGs</c:v>
                  </c:pt>
                  <c:pt idx="66">
                    <c:v>ORGANIZAÇÕES PARCEIRAS, ONGs</c:v>
                  </c:pt>
                  <c:pt idx="67">
                    <c:v>ORGANIZAÇÕES PARCEIRAS, ONGs</c:v>
                  </c:pt>
                  <c:pt idx="68">
                    <c:v>UNIVERSIDADES</c:v>
                  </c:pt>
                </c:lvl>
              </c:multiLvlStrCache>
            </c:multiLvlStrRef>
          </c:cat>
          <c:val>
            <c:numRef>
              <c:f>Geral!$C$2:$C$70</c:f>
              <c:numCache>
                <c:formatCode>General</c:formatCode>
                <c:ptCount val="69"/>
                <c:pt idx="0">
                  <c:v>2026</c:v>
                </c:pt>
                <c:pt idx="1">
                  <c:v>2026</c:v>
                </c:pt>
                <c:pt idx="2">
                  <c:v>2027</c:v>
                </c:pt>
                <c:pt idx="3">
                  <c:v>2026</c:v>
                </c:pt>
                <c:pt idx="4">
                  <c:v>2026</c:v>
                </c:pt>
                <c:pt idx="5">
                  <c:v>2026</c:v>
                </c:pt>
                <c:pt idx="6">
                  <c:v>2026</c:v>
                </c:pt>
                <c:pt idx="7">
                  <c:v>2026</c:v>
                </c:pt>
                <c:pt idx="8">
                  <c:v>2026</c:v>
                </c:pt>
                <c:pt idx="9">
                  <c:v>2026</c:v>
                </c:pt>
                <c:pt idx="10">
                  <c:v>2026</c:v>
                </c:pt>
                <c:pt idx="11">
                  <c:v>2026</c:v>
                </c:pt>
                <c:pt idx="12">
                  <c:v>2027</c:v>
                </c:pt>
                <c:pt idx="13">
                  <c:v>2026</c:v>
                </c:pt>
                <c:pt idx="14">
                  <c:v>2027</c:v>
                </c:pt>
                <c:pt idx="15">
                  <c:v>2026</c:v>
                </c:pt>
                <c:pt idx="16">
                  <c:v>2026</c:v>
                </c:pt>
                <c:pt idx="17">
                  <c:v>2027</c:v>
                </c:pt>
                <c:pt idx="18">
                  <c:v>2026</c:v>
                </c:pt>
                <c:pt idx="19">
                  <c:v>2026</c:v>
                </c:pt>
                <c:pt idx="20">
                  <c:v>2026</c:v>
                </c:pt>
                <c:pt idx="21">
                  <c:v>2026</c:v>
                </c:pt>
                <c:pt idx="22">
                  <c:v>2026</c:v>
                </c:pt>
                <c:pt idx="23">
                  <c:v>2027</c:v>
                </c:pt>
                <c:pt idx="24">
                  <c:v>2026</c:v>
                </c:pt>
                <c:pt idx="25">
                  <c:v>2026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2024</c:v>
                </c:pt>
                <c:pt idx="37">
                  <c:v>2024</c:v>
                </c:pt>
                <c:pt idx="38">
                  <c:v>2024</c:v>
                </c:pt>
                <c:pt idx="39">
                  <c:v>2023</c:v>
                </c:pt>
                <c:pt idx="40">
                  <c:v>2023</c:v>
                </c:pt>
                <c:pt idx="41">
                  <c:v>2023</c:v>
                </c:pt>
                <c:pt idx="42">
                  <c:v>2023</c:v>
                </c:pt>
                <c:pt idx="43">
                  <c:v>2023</c:v>
                </c:pt>
                <c:pt idx="44">
                  <c:v>2023</c:v>
                </c:pt>
                <c:pt idx="45">
                  <c:v>2023</c:v>
                </c:pt>
                <c:pt idx="46">
                  <c:v>2026</c:v>
                </c:pt>
                <c:pt idx="47">
                  <c:v>2027</c:v>
                </c:pt>
                <c:pt idx="48">
                  <c:v>2026</c:v>
                </c:pt>
                <c:pt idx="49">
                  <c:v>2026</c:v>
                </c:pt>
                <c:pt idx="50">
                  <c:v>2025</c:v>
                </c:pt>
                <c:pt idx="51">
                  <c:v>2024</c:v>
                </c:pt>
                <c:pt idx="52">
                  <c:v>2024</c:v>
                </c:pt>
                <c:pt idx="53">
                  <c:v>2023</c:v>
                </c:pt>
                <c:pt idx="54">
                  <c:v>2023</c:v>
                </c:pt>
                <c:pt idx="55">
                  <c:v>2023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2027</c:v>
                </c:pt>
                <c:pt idx="60">
                  <c:v>2026</c:v>
                </c:pt>
                <c:pt idx="61">
                  <c:v>2026</c:v>
                </c:pt>
                <c:pt idx="62">
                  <c:v>2026</c:v>
                </c:pt>
                <c:pt idx="63">
                  <c:v>2026</c:v>
                </c:pt>
                <c:pt idx="64">
                  <c:v>2026</c:v>
                </c:pt>
                <c:pt idx="65">
                  <c:v>2026</c:v>
                </c:pt>
                <c:pt idx="66">
                  <c:v>2023</c:v>
                </c:pt>
                <c:pt idx="67">
                  <c:v>2023</c:v>
                </c:pt>
                <c:pt idx="68">
                  <c:v>2023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1-47DC-B32F-6DFED6FB4896}"/>
            </c:ext>
          </c:extLst>
        </c:ser>
        <c:ser>
          <c:idx val="1"/>
          <c:order val="1"/>
          <c:tx>
            <c:strRef>
              <c:f>Geral!$D$1</c:f>
              <c:strCache>
                <c:ptCount val="1"/>
                <c:pt idx="0">
                  <c:v>Instrumento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Geral!$A$2:$B$70</c:f>
              <c:multiLvlStrCache>
                <c:ptCount val="69"/>
                <c:lvl>
                  <c:pt idx="0">
                    <c:v>PREFEITURA MUNICIPAL DE CANINDÉ DE SÃO FRANCISCO</c:v>
                  </c:pt>
                  <c:pt idx="1">
                    <c:v>Prefeitura Municipal de Trajano de Moraes</c:v>
                  </c:pt>
                  <c:pt idx="2">
                    <c:v>Prefeitura Municipal de Nilópolis</c:v>
                  </c:pt>
                  <c:pt idx="3">
                    <c:v>Municipio de Porangatu</c:v>
                  </c:pt>
                  <c:pt idx="4">
                    <c:v>MUNICÍPIO DE CAPELA</c:v>
                  </c:pt>
                  <c:pt idx="5">
                    <c:v>Prefeitura Municipal de Tibau do Sul</c:v>
                  </c:pt>
                  <c:pt idx="6">
                    <c:v>Município de Iaçu</c:v>
                  </c:pt>
                  <c:pt idx="7">
                    <c:v>PREFEITURA MUNICIPAL DE WENCESLAU GUIMARÃES/BA</c:v>
                  </c:pt>
                  <c:pt idx="8">
                    <c:v>PREFEITURA MUNICIPAL DE SOBRAL</c:v>
                  </c:pt>
                  <c:pt idx="9">
                    <c:v>PREFEITURA MUNICIPAL DE SOBRAL</c:v>
                  </c:pt>
                  <c:pt idx="10">
                    <c:v>Prefeitura Municipal De Careiro</c:v>
                  </c:pt>
                  <c:pt idx="11">
                    <c:v>PREFEITURA MUNICIPAL DE CONDE/PB</c:v>
                  </c:pt>
                  <c:pt idx="12">
                    <c:v>Prefeitura Municipal de Italva</c:v>
                  </c:pt>
                  <c:pt idx="13">
                    <c:v>MUNICIPIO DE NATAL</c:v>
                  </c:pt>
                  <c:pt idx="14">
                    <c:v>MUNICIPIO DE NATAL</c:v>
                  </c:pt>
                  <c:pt idx="15">
                    <c:v>Secretaria Estadual de Turismo do Rio Grande do Norte SETUR-RN</c:v>
                  </c:pt>
                  <c:pt idx="16">
                    <c:v>EMPRESA ESTADUAL DE TURISMO - AMAZONASTUR</c:v>
                  </c:pt>
                  <c:pt idx="17">
                    <c:v>EMPRESA ESTADUAL DE TURISMO - AMAZONASTUR</c:v>
                  </c:pt>
                  <c:pt idx="18">
                    <c:v>SECRETARIA DE ESTADO ECONOMICO DO PIAUÍ – SDE - Teresina/PI</c:v>
                  </c:pt>
                  <c:pt idx="19">
                    <c:v>SECRETARIA DE ESTADO ECONOMICO DO PIAUÍ – SDE - Parnaíba/PI</c:v>
                  </c:pt>
                  <c:pt idx="20">
                    <c:v>SECRETARIA DE ESTADO ECONOMICO DO PIAUÍ – SDE - Luzilândia/PI</c:v>
                  </c:pt>
                  <c:pt idx="21">
                    <c:v>SECRETARIA DE ESTADO DE ASSISTENCIA SOCIAL, TRABALHO, EMPREGO E RENDA -SEASTER</c:v>
                  </c:pt>
                  <c:pt idx="22">
                    <c:v>Secretaria de Estado de Turismo – SETUR - PA</c:v>
                  </c:pt>
                  <c:pt idx="23">
                    <c:v>ESTADO DO ACRE</c:v>
                  </c:pt>
                  <c:pt idx="24">
                    <c:v>Instituto Federal de Educação, Ciência e Tecnologia do Maranhão - IFMA</c:v>
                  </c:pt>
                  <c:pt idx="25">
                    <c:v>Instituto Federal de Educação, Ciência e Tecnologia Do Piauí – IFPI</c:v>
                  </c:pt>
                  <c:pt idx="26">
                    <c:v>plataforma qualifica turismo (UFMA)</c:v>
                  </c:pt>
                  <c:pt idx="27">
                    <c:v>Instituto Federal de Educação, Ciência e Tecnologia da Paraíba - IFPB</c:v>
                  </c:pt>
                  <c:pt idx="28">
                    <c:v>Instituto Federal de Educação, Ciência e Tecnologia Sul-riograndense (IFSul)</c:v>
                  </c:pt>
                  <c:pt idx="29">
                    <c:v>Escola Nacional de Turismo (IFPA)</c:v>
                  </c:pt>
                  <c:pt idx="30">
                    <c:v>Universidade Federal do Fluminense - UFF</c:v>
                  </c:pt>
                  <c:pt idx="31">
                    <c:v>Instituto Federal de Educação, Ciência e Tecnologia do Tocantins -IFTO</c:v>
                  </c:pt>
                  <c:pt idx="32">
                    <c:v>plataforma qualifica turismo (UFMA)</c:v>
                  </c:pt>
                  <c:pt idx="33">
                    <c:v>Instituto Federal de Educação, Ciência e Tecnologia da Paraíba - IFPB</c:v>
                  </c:pt>
                  <c:pt idx="34">
                    <c:v>Instituto Federal de Educação, Ciência e Tecnologia Sul-riograndense (IFSul)</c:v>
                  </c:pt>
                  <c:pt idx="35">
                    <c:v>Instituto Federal de Educação, Ciência e Tecnologia do Tocantins -IFTO</c:v>
                  </c:pt>
                  <c:pt idx="36">
                    <c:v>Universidade Federal do Tocantins - UFT</c:v>
                  </c:pt>
                  <c:pt idx="37">
                    <c:v>Universidade Federal do Fluminense - UFF</c:v>
                  </c:pt>
                  <c:pt idx="38">
                    <c:v>Escola Nacional de Turismo (IFPA)</c:v>
                  </c:pt>
                  <c:pt idx="39">
                    <c:v>plataforma qualifica turismo (UFMA)</c:v>
                  </c:pt>
                  <c:pt idx="40">
                    <c:v>Universidade Federal do Tocantins - UFT</c:v>
                  </c:pt>
                  <c:pt idx="41">
                    <c:v>Instituto Federal de Educação, Ciência e Tecnologia da Paraíba - IFPB</c:v>
                  </c:pt>
                  <c:pt idx="42">
                    <c:v>Instituto Federal de Educação, Ciência e Tecnologia do Tocantins -IFTO</c:v>
                  </c:pt>
                  <c:pt idx="43">
                    <c:v>Universidade Federal do Fluminense - UFF</c:v>
                  </c:pt>
                  <c:pt idx="44">
                    <c:v>Instituto Federal de Educação, Ciência e Tecnologia do Ceará - IFCE</c:v>
                  </c:pt>
                  <c:pt idx="45">
                    <c:v>Instituto Federal de Educação, Ciência e Tecnologia Sul-riograndense (IFSul)</c:v>
                  </c:pt>
                  <c:pt idx="46">
                    <c:v>SERVIÇO NACIONAL DA APRESENDIZAGEM COMERCIAL - SENAC - AR/RN</c:v>
                  </c:pt>
                  <c:pt idx="47">
                    <c:v>SERVIÇO NACIONAL DA APRESENDIZAGEM COMERCIAL - SENAC - AR/RN</c:v>
                  </c:pt>
                  <c:pt idx="48">
                    <c:v>SERVIÇO NACIONAL DA APRESENDIZAGEM COMERCIAL - SENAC - AR/RN</c:v>
                  </c:pt>
                  <c:pt idx="49">
                    <c:v>SERVICO DE APOIO AS MICRO E PEQUENAS EMPRESAS DE SE - SEBRAE</c:v>
                  </c:pt>
                  <c:pt idx="50">
                    <c:v>ACT Sesc/Senac </c:v>
                  </c:pt>
                  <c:pt idx="51">
                    <c:v>ACT Sesc/Senac</c:v>
                  </c:pt>
                  <c:pt idx="52">
                    <c:v>Senac-PR
</c:v>
                  </c:pt>
                  <c:pt idx="53">
                    <c:v>Senac/PR</c:v>
                  </c:pt>
                  <c:pt idx="54">
                    <c:v>Senac/SC</c:v>
                  </c:pt>
                  <c:pt idx="55">
                    <c:v>Senac-Pará</c:v>
                  </c:pt>
                  <c:pt idx="56">
                    <c:v>Associação Brasileira da Indústria de Hotéis do Rio Grande do Norte - ABIH/RN</c:v>
                  </c:pt>
                  <c:pt idx="57">
                    <c:v>Associação Construir de Assistência Social</c:v>
                  </c:pt>
                  <c:pt idx="58">
                    <c:v>Instituto Conexão</c:v>
                  </c:pt>
                  <c:pt idx="59">
                    <c:v>Instituto Conexão</c:v>
                  </c:pt>
                  <c:pt idx="60">
                    <c:v>INSTITUTO FUTURE DE JUVENTUDE, PROMOÇÃO, TURISMO, CULTURA E DESENVOLVIMENTO SUSTENTÁVEL</c:v>
                  </c:pt>
                  <c:pt idx="61">
                    <c:v>INSTITUTO RESGATE ONG ESCOLA VOLUNTARIA AGRICOLA</c:v>
                  </c:pt>
                  <c:pt idx="62">
                    <c:v>INSTITUTO SOCIAL DE CAPELANIA EDUCACIONAL E CULTURAL DO MARANHAO ISCEC MA</c:v>
                  </c:pt>
                  <c:pt idx="63">
                    <c:v>Instituto Somar Solução Brasil</c:v>
                  </c:pt>
                  <c:pt idx="64">
                    <c:v>FUNDACAO WALL FERRAZ</c:v>
                  </c:pt>
                  <c:pt idx="65">
                    <c:v>INSTITUTO NACIONAL DE PARCERIAS PUBLICAS - INPP</c:v>
                  </c:pt>
                  <c:pt idx="66">
                    <c:v>AT do Brasil</c:v>
                  </c:pt>
                  <c:pt idx="67">
                    <c:v>Incluir Treinamentos</c:v>
                  </c:pt>
                  <c:pt idx="68">
                    <c:v>Universidade Federal do Fluminense - UFF</c:v>
                  </c:pt>
                </c:lvl>
                <c:lvl>
                  <c:pt idx="0">
                    <c:v>PREFEITURAS</c:v>
                  </c:pt>
                  <c:pt idx="1">
                    <c:v>PREFEITURAS</c:v>
                  </c:pt>
                  <c:pt idx="2">
                    <c:v>PREFEITURAS</c:v>
                  </c:pt>
                  <c:pt idx="3">
                    <c:v>PREFEITURAS</c:v>
                  </c:pt>
                  <c:pt idx="4">
                    <c:v>PREFEITURAS</c:v>
                  </c:pt>
                  <c:pt idx="5">
                    <c:v>PREFEITURAS</c:v>
                  </c:pt>
                  <c:pt idx="6">
                    <c:v>PREFEITURAS</c:v>
                  </c:pt>
                  <c:pt idx="7">
                    <c:v>PREFEITURAS</c:v>
                  </c:pt>
                  <c:pt idx="8">
                    <c:v>PREFEITURAS</c:v>
                  </c:pt>
                  <c:pt idx="9">
                    <c:v>PREFEITURAS</c:v>
                  </c:pt>
                  <c:pt idx="10">
                    <c:v>PREFEITURAS</c:v>
                  </c:pt>
                  <c:pt idx="11">
                    <c:v>PREFEITURAS</c:v>
                  </c:pt>
                  <c:pt idx="12">
                    <c:v>PREFEITURAS</c:v>
                  </c:pt>
                  <c:pt idx="13">
                    <c:v>PREFEITURAS</c:v>
                  </c:pt>
                  <c:pt idx="14">
                    <c:v>PREFEITURAS</c:v>
                  </c:pt>
                  <c:pt idx="15">
                    <c:v>ESTADO</c:v>
                  </c:pt>
                  <c:pt idx="16">
                    <c:v>ESTADO</c:v>
                  </c:pt>
                  <c:pt idx="17">
                    <c:v>ESTADO</c:v>
                  </c:pt>
                  <c:pt idx="18">
                    <c:v>ESTADO</c:v>
                  </c:pt>
                  <c:pt idx="19">
                    <c:v>ESTADO</c:v>
                  </c:pt>
                  <c:pt idx="20">
                    <c:v>ESTADO</c:v>
                  </c:pt>
                  <c:pt idx="21">
                    <c:v>ESTADO</c:v>
                  </c:pt>
                  <c:pt idx="22">
                    <c:v>ESTADO</c:v>
                  </c:pt>
                  <c:pt idx="23">
                    <c:v>ESTADO</c:v>
                  </c:pt>
                  <c:pt idx="24">
                    <c:v>INSTITUTOS FEDERAIS</c:v>
                  </c:pt>
                  <c:pt idx="25">
                    <c:v>INSTITUTOS FEDERAIS</c:v>
                  </c:pt>
                  <c:pt idx="26">
                    <c:v>UNIVERSIDADES</c:v>
                  </c:pt>
                  <c:pt idx="27">
                    <c:v>INSTITUTOS FEDERAIS</c:v>
                  </c:pt>
                  <c:pt idx="28">
                    <c:v>INSTITUTOS FEDERAIS</c:v>
                  </c:pt>
                  <c:pt idx="29">
                    <c:v>UNIVERSIDADES</c:v>
                  </c:pt>
                  <c:pt idx="30">
                    <c:v>UNIVERSIDADES</c:v>
                  </c:pt>
                  <c:pt idx="31">
                    <c:v>INSTITUTOS FEDERAIS</c:v>
                  </c:pt>
                  <c:pt idx="32">
                    <c:v>UNIVERSIDADES</c:v>
                  </c:pt>
                  <c:pt idx="33">
                    <c:v>INSTITUTOS FEDERAIS</c:v>
                  </c:pt>
                  <c:pt idx="34">
                    <c:v>INSTITUTOS FEDERAIS</c:v>
                  </c:pt>
                  <c:pt idx="35">
                    <c:v>INSTITUTOS FEDERAIS</c:v>
                  </c:pt>
                  <c:pt idx="36">
                    <c:v>UNIVERSIDADES</c:v>
                  </c:pt>
                  <c:pt idx="37">
                    <c:v>UNIVERSIDADES</c:v>
                  </c:pt>
                  <c:pt idx="38">
                    <c:v>INSTITUTOS FEDERAIS</c:v>
                  </c:pt>
                  <c:pt idx="39">
                    <c:v>UNIVERSIDADES</c:v>
                  </c:pt>
                  <c:pt idx="40">
                    <c:v>UNIVERSIDADES</c:v>
                  </c:pt>
                  <c:pt idx="41">
                    <c:v>INSTITUTOS FEDERAIS</c:v>
                  </c:pt>
                  <c:pt idx="42">
                    <c:v>INSTITUTOS FEDERAIS</c:v>
                  </c:pt>
                  <c:pt idx="43">
                    <c:v>UNIVERSIDADES</c:v>
                  </c:pt>
                  <c:pt idx="44">
                    <c:v>INSTITUTOS FEDERAIS</c:v>
                  </c:pt>
                  <c:pt idx="45">
                    <c:v>INSTITUTOS FEDERAIS</c:v>
                  </c:pt>
                  <c:pt idx="46">
                    <c:v>SISTEMA S</c:v>
                  </c:pt>
                  <c:pt idx="47">
                    <c:v>SISTEMA S</c:v>
                  </c:pt>
                  <c:pt idx="48">
                    <c:v>SISTEMA S</c:v>
                  </c:pt>
                  <c:pt idx="49">
                    <c:v>SISTEMA S</c:v>
                  </c:pt>
                  <c:pt idx="50">
                    <c:v>SISTEMA S</c:v>
                  </c:pt>
                  <c:pt idx="51">
                    <c:v>SISTEMA S</c:v>
                  </c:pt>
                  <c:pt idx="52">
                    <c:v>SISTEMA S</c:v>
                  </c:pt>
                  <c:pt idx="53">
                    <c:v>SISTEMA S</c:v>
                  </c:pt>
                  <c:pt idx="54">
                    <c:v>SISTEMA S</c:v>
                  </c:pt>
                  <c:pt idx="55">
                    <c:v>SISTEMA S</c:v>
                  </c:pt>
                  <c:pt idx="56">
                    <c:v>ORGANIZAÇÕES PARCEIRAS, ONGs</c:v>
                  </c:pt>
                  <c:pt idx="57">
                    <c:v>ORGANIZAÇÕES PARCEIRAS, ONGs</c:v>
                  </c:pt>
                  <c:pt idx="58">
                    <c:v>ORGANIZAÇÕES PARCEIRAS, ONGs</c:v>
                  </c:pt>
                  <c:pt idx="59">
                    <c:v>ORGANIZAÇÕES PARCEIRAS, ONGs</c:v>
                  </c:pt>
                  <c:pt idx="60">
                    <c:v>ORGANIZAÇÕES PARCEIRAS, ONGs</c:v>
                  </c:pt>
                  <c:pt idx="61">
                    <c:v>ORGANIZAÇÕES PARCEIRAS, ONGs</c:v>
                  </c:pt>
                  <c:pt idx="62">
                    <c:v>ORGANIZAÇÕES PARCEIRAS, ONGs</c:v>
                  </c:pt>
                  <c:pt idx="63">
                    <c:v>ORGANIZAÇÕES PARCEIRAS, ONGs</c:v>
                  </c:pt>
                  <c:pt idx="64">
                    <c:v>ESTADO</c:v>
                  </c:pt>
                  <c:pt idx="65">
                    <c:v>ORGANIZAÇÕES PARCEIRAS, ONGs</c:v>
                  </c:pt>
                  <c:pt idx="66">
                    <c:v>ORGANIZAÇÕES PARCEIRAS, ONGs</c:v>
                  </c:pt>
                  <c:pt idx="67">
                    <c:v>ORGANIZAÇÕES PARCEIRAS, ONGs</c:v>
                  </c:pt>
                  <c:pt idx="68">
                    <c:v>UNIVERSIDADES</c:v>
                  </c:pt>
                </c:lvl>
              </c:multiLvlStrCache>
            </c:multiLvlStrRef>
          </c:cat>
          <c:val>
            <c:numRef>
              <c:f>Geral!$D$2:$D$70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A1-47DC-B32F-6DFED6FB4896}"/>
            </c:ext>
          </c:extLst>
        </c:ser>
        <c:ser>
          <c:idx val="2"/>
          <c:order val="2"/>
          <c:tx>
            <c:strRef>
              <c:f>Geral!$E$1</c:f>
              <c:strCache>
                <c:ptCount val="1"/>
                <c:pt idx="0">
                  <c:v>Nº SEI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Geral!$A$2:$B$70</c:f>
              <c:multiLvlStrCache>
                <c:ptCount val="69"/>
                <c:lvl>
                  <c:pt idx="0">
                    <c:v>PREFEITURA MUNICIPAL DE CANINDÉ DE SÃO FRANCISCO</c:v>
                  </c:pt>
                  <c:pt idx="1">
                    <c:v>Prefeitura Municipal de Trajano de Moraes</c:v>
                  </c:pt>
                  <c:pt idx="2">
                    <c:v>Prefeitura Municipal de Nilópolis</c:v>
                  </c:pt>
                  <c:pt idx="3">
                    <c:v>Municipio de Porangatu</c:v>
                  </c:pt>
                  <c:pt idx="4">
                    <c:v>MUNICÍPIO DE CAPELA</c:v>
                  </c:pt>
                  <c:pt idx="5">
                    <c:v>Prefeitura Municipal de Tibau do Sul</c:v>
                  </c:pt>
                  <c:pt idx="6">
                    <c:v>Município de Iaçu</c:v>
                  </c:pt>
                  <c:pt idx="7">
                    <c:v>PREFEITURA MUNICIPAL DE WENCESLAU GUIMARÃES/BA</c:v>
                  </c:pt>
                  <c:pt idx="8">
                    <c:v>PREFEITURA MUNICIPAL DE SOBRAL</c:v>
                  </c:pt>
                  <c:pt idx="9">
                    <c:v>PREFEITURA MUNICIPAL DE SOBRAL</c:v>
                  </c:pt>
                  <c:pt idx="10">
                    <c:v>Prefeitura Municipal De Careiro</c:v>
                  </c:pt>
                  <c:pt idx="11">
                    <c:v>PREFEITURA MUNICIPAL DE CONDE/PB</c:v>
                  </c:pt>
                  <c:pt idx="12">
                    <c:v>Prefeitura Municipal de Italva</c:v>
                  </c:pt>
                  <c:pt idx="13">
                    <c:v>MUNICIPIO DE NATAL</c:v>
                  </c:pt>
                  <c:pt idx="14">
                    <c:v>MUNICIPIO DE NATAL</c:v>
                  </c:pt>
                  <c:pt idx="15">
                    <c:v>Secretaria Estadual de Turismo do Rio Grande do Norte SETUR-RN</c:v>
                  </c:pt>
                  <c:pt idx="16">
                    <c:v>EMPRESA ESTADUAL DE TURISMO - AMAZONASTUR</c:v>
                  </c:pt>
                  <c:pt idx="17">
                    <c:v>EMPRESA ESTADUAL DE TURISMO - AMAZONASTUR</c:v>
                  </c:pt>
                  <c:pt idx="18">
                    <c:v>SECRETARIA DE ESTADO ECONOMICO DO PIAUÍ – SDE - Teresina/PI</c:v>
                  </c:pt>
                  <c:pt idx="19">
                    <c:v>SECRETARIA DE ESTADO ECONOMICO DO PIAUÍ – SDE - Parnaíba/PI</c:v>
                  </c:pt>
                  <c:pt idx="20">
                    <c:v>SECRETARIA DE ESTADO ECONOMICO DO PIAUÍ – SDE - Luzilândia/PI</c:v>
                  </c:pt>
                  <c:pt idx="21">
                    <c:v>SECRETARIA DE ESTADO DE ASSISTENCIA SOCIAL, TRABALHO, EMPREGO E RENDA -SEASTER</c:v>
                  </c:pt>
                  <c:pt idx="22">
                    <c:v>Secretaria de Estado de Turismo – SETUR - PA</c:v>
                  </c:pt>
                  <c:pt idx="23">
                    <c:v>ESTADO DO ACRE</c:v>
                  </c:pt>
                  <c:pt idx="24">
                    <c:v>Instituto Federal de Educação, Ciência e Tecnologia do Maranhão - IFMA</c:v>
                  </c:pt>
                  <c:pt idx="25">
                    <c:v>Instituto Federal de Educação, Ciência e Tecnologia Do Piauí – IFPI</c:v>
                  </c:pt>
                  <c:pt idx="26">
                    <c:v>plataforma qualifica turismo (UFMA)</c:v>
                  </c:pt>
                  <c:pt idx="27">
                    <c:v>Instituto Federal de Educação, Ciência e Tecnologia da Paraíba - IFPB</c:v>
                  </c:pt>
                  <c:pt idx="28">
                    <c:v>Instituto Federal de Educação, Ciência e Tecnologia Sul-riograndense (IFSul)</c:v>
                  </c:pt>
                  <c:pt idx="29">
                    <c:v>Escola Nacional de Turismo (IFPA)</c:v>
                  </c:pt>
                  <c:pt idx="30">
                    <c:v>Universidade Federal do Fluminense - UFF</c:v>
                  </c:pt>
                  <c:pt idx="31">
                    <c:v>Instituto Federal de Educação, Ciência e Tecnologia do Tocantins -IFTO</c:v>
                  </c:pt>
                  <c:pt idx="32">
                    <c:v>plataforma qualifica turismo (UFMA)</c:v>
                  </c:pt>
                  <c:pt idx="33">
                    <c:v>Instituto Federal de Educação, Ciência e Tecnologia da Paraíba - IFPB</c:v>
                  </c:pt>
                  <c:pt idx="34">
                    <c:v>Instituto Federal de Educação, Ciência e Tecnologia Sul-riograndense (IFSul)</c:v>
                  </c:pt>
                  <c:pt idx="35">
                    <c:v>Instituto Federal de Educação, Ciência e Tecnologia do Tocantins -IFTO</c:v>
                  </c:pt>
                  <c:pt idx="36">
                    <c:v>Universidade Federal do Tocantins - UFT</c:v>
                  </c:pt>
                  <c:pt idx="37">
                    <c:v>Universidade Federal do Fluminense - UFF</c:v>
                  </c:pt>
                  <c:pt idx="38">
                    <c:v>Escola Nacional de Turismo (IFPA)</c:v>
                  </c:pt>
                  <c:pt idx="39">
                    <c:v>plataforma qualifica turismo (UFMA)</c:v>
                  </c:pt>
                  <c:pt idx="40">
                    <c:v>Universidade Federal do Tocantins - UFT</c:v>
                  </c:pt>
                  <c:pt idx="41">
                    <c:v>Instituto Federal de Educação, Ciência e Tecnologia da Paraíba - IFPB</c:v>
                  </c:pt>
                  <c:pt idx="42">
                    <c:v>Instituto Federal de Educação, Ciência e Tecnologia do Tocantins -IFTO</c:v>
                  </c:pt>
                  <c:pt idx="43">
                    <c:v>Universidade Federal do Fluminense - UFF</c:v>
                  </c:pt>
                  <c:pt idx="44">
                    <c:v>Instituto Federal de Educação, Ciência e Tecnologia do Ceará - IFCE</c:v>
                  </c:pt>
                  <c:pt idx="45">
                    <c:v>Instituto Federal de Educação, Ciência e Tecnologia Sul-riograndense (IFSul)</c:v>
                  </c:pt>
                  <c:pt idx="46">
                    <c:v>SERVIÇO NACIONAL DA APRESENDIZAGEM COMERCIAL - SENAC - AR/RN</c:v>
                  </c:pt>
                  <c:pt idx="47">
                    <c:v>SERVIÇO NACIONAL DA APRESENDIZAGEM COMERCIAL - SENAC - AR/RN</c:v>
                  </c:pt>
                  <c:pt idx="48">
                    <c:v>SERVIÇO NACIONAL DA APRESENDIZAGEM COMERCIAL - SENAC - AR/RN</c:v>
                  </c:pt>
                  <c:pt idx="49">
                    <c:v>SERVICO DE APOIO AS MICRO E PEQUENAS EMPRESAS DE SE - SEBRAE</c:v>
                  </c:pt>
                  <c:pt idx="50">
                    <c:v>ACT Sesc/Senac </c:v>
                  </c:pt>
                  <c:pt idx="51">
                    <c:v>ACT Sesc/Senac</c:v>
                  </c:pt>
                  <c:pt idx="52">
                    <c:v>Senac-PR
</c:v>
                  </c:pt>
                  <c:pt idx="53">
                    <c:v>Senac/PR</c:v>
                  </c:pt>
                  <c:pt idx="54">
                    <c:v>Senac/SC</c:v>
                  </c:pt>
                  <c:pt idx="55">
                    <c:v>Senac-Pará</c:v>
                  </c:pt>
                  <c:pt idx="56">
                    <c:v>Associação Brasileira da Indústria de Hotéis do Rio Grande do Norte - ABIH/RN</c:v>
                  </c:pt>
                  <c:pt idx="57">
                    <c:v>Associação Construir de Assistência Social</c:v>
                  </c:pt>
                  <c:pt idx="58">
                    <c:v>Instituto Conexão</c:v>
                  </c:pt>
                  <c:pt idx="59">
                    <c:v>Instituto Conexão</c:v>
                  </c:pt>
                  <c:pt idx="60">
                    <c:v>INSTITUTO FUTURE DE JUVENTUDE, PROMOÇÃO, TURISMO, CULTURA E DESENVOLVIMENTO SUSTENTÁVEL</c:v>
                  </c:pt>
                  <c:pt idx="61">
                    <c:v>INSTITUTO RESGATE ONG ESCOLA VOLUNTARIA AGRICOLA</c:v>
                  </c:pt>
                  <c:pt idx="62">
                    <c:v>INSTITUTO SOCIAL DE CAPELANIA EDUCACIONAL E CULTURAL DO MARANHAO ISCEC MA</c:v>
                  </c:pt>
                  <c:pt idx="63">
                    <c:v>Instituto Somar Solução Brasil</c:v>
                  </c:pt>
                  <c:pt idx="64">
                    <c:v>FUNDACAO WALL FERRAZ</c:v>
                  </c:pt>
                  <c:pt idx="65">
                    <c:v>INSTITUTO NACIONAL DE PARCERIAS PUBLICAS - INPP</c:v>
                  </c:pt>
                  <c:pt idx="66">
                    <c:v>AT do Brasil</c:v>
                  </c:pt>
                  <c:pt idx="67">
                    <c:v>Incluir Treinamentos</c:v>
                  </c:pt>
                  <c:pt idx="68">
                    <c:v>Universidade Federal do Fluminense - UFF</c:v>
                  </c:pt>
                </c:lvl>
                <c:lvl>
                  <c:pt idx="0">
                    <c:v>PREFEITURAS</c:v>
                  </c:pt>
                  <c:pt idx="1">
                    <c:v>PREFEITURAS</c:v>
                  </c:pt>
                  <c:pt idx="2">
                    <c:v>PREFEITURAS</c:v>
                  </c:pt>
                  <c:pt idx="3">
                    <c:v>PREFEITURAS</c:v>
                  </c:pt>
                  <c:pt idx="4">
                    <c:v>PREFEITURAS</c:v>
                  </c:pt>
                  <c:pt idx="5">
                    <c:v>PREFEITURAS</c:v>
                  </c:pt>
                  <c:pt idx="6">
                    <c:v>PREFEITURAS</c:v>
                  </c:pt>
                  <c:pt idx="7">
                    <c:v>PREFEITURAS</c:v>
                  </c:pt>
                  <c:pt idx="8">
                    <c:v>PREFEITURAS</c:v>
                  </c:pt>
                  <c:pt idx="9">
                    <c:v>PREFEITURAS</c:v>
                  </c:pt>
                  <c:pt idx="10">
                    <c:v>PREFEITURAS</c:v>
                  </c:pt>
                  <c:pt idx="11">
                    <c:v>PREFEITURAS</c:v>
                  </c:pt>
                  <c:pt idx="12">
                    <c:v>PREFEITURAS</c:v>
                  </c:pt>
                  <c:pt idx="13">
                    <c:v>PREFEITURAS</c:v>
                  </c:pt>
                  <c:pt idx="14">
                    <c:v>PREFEITURAS</c:v>
                  </c:pt>
                  <c:pt idx="15">
                    <c:v>ESTADO</c:v>
                  </c:pt>
                  <c:pt idx="16">
                    <c:v>ESTADO</c:v>
                  </c:pt>
                  <c:pt idx="17">
                    <c:v>ESTADO</c:v>
                  </c:pt>
                  <c:pt idx="18">
                    <c:v>ESTADO</c:v>
                  </c:pt>
                  <c:pt idx="19">
                    <c:v>ESTADO</c:v>
                  </c:pt>
                  <c:pt idx="20">
                    <c:v>ESTADO</c:v>
                  </c:pt>
                  <c:pt idx="21">
                    <c:v>ESTADO</c:v>
                  </c:pt>
                  <c:pt idx="22">
                    <c:v>ESTADO</c:v>
                  </c:pt>
                  <c:pt idx="23">
                    <c:v>ESTADO</c:v>
                  </c:pt>
                  <c:pt idx="24">
                    <c:v>INSTITUTOS FEDERAIS</c:v>
                  </c:pt>
                  <c:pt idx="25">
                    <c:v>INSTITUTOS FEDERAIS</c:v>
                  </c:pt>
                  <c:pt idx="26">
                    <c:v>UNIVERSIDADES</c:v>
                  </c:pt>
                  <c:pt idx="27">
                    <c:v>INSTITUTOS FEDERAIS</c:v>
                  </c:pt>
                  <c:pt idx="28">
                    <c:v>INSTITUTOS FEDERAIS</c:v>
                  </c:pt>
                  <c:pt idx="29">
                    <c:v>UNIVERSIDADES</c:v>
                  </c:pt>
                  <c:pt idx="30">
                    <c:v>UNIVERSIDADES</c:v>
                  </c:pt>
                  <c:pt idx="31">
                    <c:v>INSTITUTOS FEDERAIS</c:v>
                  </c:pt>
                  <c:pt idx="32">
                    <c:v>UNIVERSIDADES</c:v>
                  </c:pt>
                  <c:pt idx="33">
                    <c:v>INSTITUTOS FEDERAIS</c:v>
                  </c:pt>
                  <c:pt idx="34">
                    <c:v>INSTITUTOS FEDERAIS</c:v>
                  </c:pt>
                  <c:pt idx="35">
                    <c:v>INSTITUTOS FEDERAIS</c:v>
                  </c:pt>
                  <c:pt idx="36">
                    <c:v>UNIVERSIDADES</c:v>
                  </c:pt>
                  <c:pt idx="37">
                    <c:v>UNIVERSIDADES</c:v>
                  </c:pt>
                  <c:pt idx="38">
                    <c:v>INSTITUTOS FEDERAIS</c:v>
                  </c:pt>
                  <c:pt idx="39">
                    <c:v>UNIVERSIDADES</c:v>
                  </c:pt>
                  <c:pt idx="40">
                    <c:v>UNIVERSIDADES</c:v>
                  </c:pt>
                  <c:pt idx="41">
                    <c:v>INSTITUTOS FEDERAIS</c:v>
                  </c:pt>
                  <c:pt idx="42">
                    <c:v>INSTITUTOS FEDERAIS</c:v>
                  </c:pt>
                  <c:pt idx="43">
                    <c:v>UNIVERSIDADES</c:v>
                  </c:pt>
                  <c:pt idx="44">
                    <c:v>INSTITUTOS FEDERAIS</c:v>
                  </c:pt>
                  <c:pt idx="45">
                    <c:v>INSTITUTOS FEDERAIS</c:v>
                  </c:pt>
                  <c:pt idx="46">
                    <c:v>SISTEMA S</c:v>
                  </c:pt>
                  <c:pt idx="47">
                    <c:v>SISTEMA S</c:v>
                  </c:pt>
                  <c:pt idx="48">
                    <c:v>SISTEMA S</c:v>
                  </c:pt>
                  <c:pt idx="49">
                    <c:v>SISTEMA S</c:v>
                  </c:pt>
                  <c:pt idx="50">
                    <c:v>SISTEMA S</c:v>
                  </c:pt>
                  <c:pt idx="51">
                    <c:v>SISTEMA S</c:v>
                  </c:pt>
                  <c:pt idx="52">
                    <c:v>SISTEMA S</c:v>
                  </c:pt>
                  <c:pt idx="53">
                    <c:v>SISTEMA S</c:v>
                  </c:pt>
                  <c:pt idx="54">
                    <c:v>SISTEMA S</c:v>
                  </c:pt>
                  <c:pt idx="55">
                    <c:v>SISTEMA S</c:v>
                  </c:pt>
                  <c:pt idx="56">
                    <c:v>ORGANIZAÇÕES PARCEIRAS, ONGs</c:v>
                  </c:pt>
                  <c:pt idx="57">
                    <c:v>ORGANIZAÇÕES PARCEIRAS, ONGs</c:v>
                  </c:pt>
                  <c:pt idx="58">
                    <c:v>ORGANIZAÇÕES PARCEIRAS, ONGs</c:v>
                  </c:pt>
                  <c:pt idx="59">
                    <c:v>ORGANIZAÇÕES PARCEIRAS, ONGs</c:v>
                  </c:pt>
                  <c:pt idx="60">
                    <c:v>ORGANIZAÇÕES PARCEIRAS, ONGs</c:v>
                  </c:pt>
                  <c:pt idx="61">
                    <c:v>ORGANIZAÇÕES PARCEIRAS, ONGs</c:v>
                  </c:pt>
                  <c:pt idx="62">
                    <c:v>ORGANIZAÇÕES PARCEIRAS, ONGs</c:v>
                  </c:pt>
                  <c:pt idx="63">
                    <c:v>ORGANIZAÇÕES PARCEIRAS, ONGs</c:v>
                  </c:pt>
                  <c:pt idx="64">
                    <c:v>ESTADO</c:v>
                  </c:pt>
                  <c:pt idx="65">
                    <c:v>ORGANIZAÇÕES PARCEIRAS, ONGs</c:v>
                  </c:pt>
                  <c:pt idx="66">
                    <c:v>ORGANIZAÇÕES PARCEIRAS, ONGs</c:v>
                  </c:pt>
                  <c:pt idx="67">
                    <c:v>ORGANIZAÇÕES PARCEIRAS, ONGs</c:v>
                  </c:pt>
                  <c:pt idx="68">
                    <c:v>UNIVERSIDADES</c:v>
                  </c:pt>
                </c:lvl>
              </c:multiLvlStrCache>
            </c:multiLvlStrRef>
          </c:cat>
          <c:val>
            <c:numRef>
              <c:f>Geral!$E$2:$E$70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A1-47DC-B32F-6DFED6FB4896}"/>
            </c:ext>
          </c:extLst>
        </c:ser>
        <c:ser>
          <c:idx val="3"/>
          <c:order val="3"/>
          <c:tx>
            <c:strRef>
              <c:f>Geral!$F$1</c:f>
              <c:strCache>
                <c:ptCount val="1"/>
                <c:pt idx="0">
                  <c:v>Fonte de Recurso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Geral!$A$2:$B$70</c:f>
              <c:multiLvlStrCache>
                <c:ptCount val="69"/>
                <c:lvl>
                  <c:pt idx="0">
                    <c:v>PREFEITURA MUNICIPAL DE CANINDÉ DE SÃO FRANCISCO</c:v>
                  </c:pt>
                  <c:pt idx="1">
                    <c:v>Prefeitura Municipal de Trajano de Moraes</c:v>
                  </c:pt>
                  <c:pt idx="2">
                    <c:v>Prefeitura Municipal de Nilópolis</c:v>
                  </c:pt>
                  <c:pt idx="3">
                    <c:v>Municipio de Porangatu</c:v>
                  </c:pt>
                  <c:pt idx="4">
                    <c:v>MUNICÍPIO DE CAPELA</c:v>
                  </c:pt>
                  <c:pt idx="5">
                    <c:v>Prefeitura Municipal de Tibau do Sul</c:v>
                  </c:pt>
                  <c:pt idx="6">
                    <c:v>Município de Iaçu</c:v>
                  </c:pt>
                  <c:pt idx="7">
                    <c:v>PREFEITURA MUNICIPAL DE WENCESLAU GUIMARÃES/BA</c:v>
                  </c:pt>
                  <c:pt idx="8">
                    <c:v>PREFEITURA MUNICIPAL DE SOBRAL</c:v>
                  </c:pt>
                  <c:pt idx="9">
                    <c:v>PREFEITURA MUNICIPAL DE SOBRAL</c:v>
                  </c:pt>
                  <c:pt idx="10">
                    <c:v>Prefeitura Municipal De Careiro</c:v>
                  </c:pt>
                  <c:pt idx="11">
                    <c:v>PREFEITURA MUNICIPAL DE CONDE/PB</c:v>
                  </c:pt>
                  <c:pt idx="12">
                    <c:v>Prefeitura Municipal de Italva</c:v>
                  </c:pt>
                  <c:pt idx="13">
                    <c:v>MUNICIPIO DE NATAL</c:v>
                  </c:pt>
                  <c:pt idx="14">
                    <c:v>MUNICIPIO DE NATAL</c:v>
                  </c:pt>
                  <c:pt idx="15">
                    <c:v>Secretaria Estadual de Turismo do Rio Grande do Norte SETUR-RN</c:v>
                  </c:pt>
                  <c:pt idx="16">
                    <c:v>EMPRESA ESTADUAL DE TURISMO - AMAZONASTUR</c:v>
                  </c:pt>
                  <c:pt idx="17">
                    <c:v>EMPRESA ESTADUAL DE TURISMO - AMAZONASTUR</c:v>
                  </c:pt>
                  <c:pt idx="18">
                    <c:v>SECRETARIA DE ESTADO ECONOMICO DO PIAUÍ – SDE - Teresina/PI</c:v>
                  </c:pt>
                  <c:pt idx="19">
                    <c:v>SECRETARIA DE ESTADO ECONOMICO DO PIAUÍ – SDE - Parnaíba/PI</c:v>
                  </c:pt>
                  <c:pt idx="20">
                    <c:v>SECRETARIA DE ESTADO ECONOMICO DO PIAUÍ – SDE - Luzilândia/PI</c:v>
                  </c:pt>
                  <c:pt idx="21">
                    <c:v>SECRETARIA DE ESTADO DE ASSISTENCIA SOCIAL, TRABALHO, EMPREGO E RENDA -SEASTER</c:v>
                  </c:pt>
                  <c:pt idx="22">
                    <c:v>Secretaria de Estado de Turismo – SETUR - PA</c:v>
                  </c:pt>
                  <c:pt idx="23">
                    <c:v>ESTADO DO ACRE</c:v>
                  </c:pt>
                  <c:pt idx="24">
                    <c:v>Instituto Federal de Educação, Ciência e Tecnologia do Maranhão - IFMA</c:v>
                  </c:pt>
                  <c:pt idx="25">
                    <c:v>Instituto Federal de Educação, Ciência e Tecnologia Do Piauí – IFPI</c:v>
                  </c:pt>
                  <c:pt idx="26">
                    <c:v>plataforma qualifica turismo (UFMA)</c:v>
                  </c:pt>
                  <c:pt idx="27">
                    <c:v>Instituto Federal de Educação, Ciência e Tecnologia da Paraíba - IFPB</c:v>
                  </c:pt>
                  <c:pt idx="28">
                    <c:v>Instituto Federal de Educação, Ciência e Tecnologia Sul-riograndense (IFSul)</c:v>
                  </c:pt>
                  <c:pt idx="29">
                    <c:v>Escola Nacional de Turismo (IFPA)</c:v>
                  </c:pt>
                  <c:pt idx="30">
                    <c:v>Universidade Federal do Fluminense - UFF</c:v>
                  </c:pt>
                  <c:pt idx="31">
                    <c:v>Instituto Federal de Educação, Ciência e Tecnologia do Tocantins -IFTO</c:v>
                  </c:pt>
                  <c:pt idx="32">
                    <c:v>plataforma qualifica turismo (UFMA)</c:v>
                  </c:pt>
                  <c:pt idx="33">
                    <c:v>Instituto Federal de Educação, Ciência e Tecnologia da Paraíba - IFPB</c:v>
                  </c:pt>
                  <c:pt idx="34">
                    <c:v>Instituto Federal de Educação, Ciência e Tecnologia Sul-riograndense (IFSul)</c:v>
                  </c:pt>
                  <c:pt idx="35">
                    <c:v>Instituto Federal de Educação, Ciência e Tecnologia do Tocantins -IFTO</c:v>
                  </c:pt>
                  <c:pt idx="36">
                    <c:v>Universidade Federal do Tocantins - UFT</c:v>
                  </c:pt>
                  <c:pt idx="37">
                    <c:v>Universidade Federal do Fluminense - UFF</c:v>
                  </c:pt>
                  <c:pt idx="38">
                    <c:v>Escola Nacional de Turismo (IFPA)</c:v>
                  </c:pt>
                  <c:pt idx="39">
                    <c:v>plataforma qualifica turismo (UFMA)</c:v>
                  </c:pt>
                  <c:pt idx="40">
                    <c:v>Universidade Federal do Tocantins - UFT</c:v>
                  </c:pt>
                  <c:pt idx="41">
                    <c:v>Instituto Federal de Educação, Ciência e Tecnologia da Paraíba - IFPB</c:v>
                  </c:pt>
                  <c:pt idx="42">
                    <c:v>Instituto Federal de Educação, Ciência e Tecnologia do Tocantins -IFTO</c:v>
                  </c:pt>
                  <c:pt idx="43">
                    <c:v>Universidade Federal do Fluminense - UFF</c:v>
                  </c:pt>
                  <c:pt idx="44">
                    <c:v>Instituto Federal de Educação, Ciência e Tecnologia do Ceará - IFCE</c:v>
                  </c:pt>
                  <c:pt idx="45">
                    <c:v>Instituto Federal de Educação, Ciência e Tecnologia Sul-riograndense (IFSul)</c:v>
                  </c:pt>
                  <c:pt idx="46">
                    <c:v>SERVIÇO NACIONAL DA APRESENDIZAGEM COMERCIAL - SENAC - AR/RN</c:v>
                  </c:pt>
                  <c:pt idx="47">
                    <c:v>SERVIÇO NACIONAL DA APRESENDIZAGEM COMERCIAL - SENAC - AR/RN</c:v>
                  </c:pt>
                  <c:pt idx="48">
                    <c:v>SERVIÇO NACIONAL DA APRESENDIZAGEM COMERCIAL - SENAC - AR/RN</c:v>
                  </c:pt>
                  <c:pt idx="49">
                    <c:v>SERVICO DE APOIO AS MICRO E PEQUENAS EMPRESAS DE SE - SEBRAE</c:v>
                  </c:pt>
                  <c:pt idx="50">
                    <c:v>ACT Sesc/Senac </c:v>
                  </c:pt>
                  <c:pt idx="51">
                    <c:v>ACT Sesc/Senac</c:v>
                  </c:pt>
                  <c:pt idx="52">
                    <c:v>Senac-PR
</c:v>
                  </c:pt>
                  <c:pt idx="53">
                    <c:v>Senac/PR</c:v>
                  </c:pt>
                  <c:pt idx="54">
                    <c:v>Senac/SC</c:v>
                  </c:pt>
                  <c:pt idx="55">
                    <c:v>Senac-Pará</c:v>
                  </c:pt>
                  <c:pt idx="56">
                    <c:v>Associação Brasileira da Indústria de Hotéis do Rio Grande do Norte - ABIH/RN</c:v>
                  </c:pt>
                  <c:pt idx="57">
                    <c:v>Associação Construir de Assistência Social</c:v>
                  </c:pt>
                  <c:pt idx="58">
                    <c:v>Instituto Conexão</c:v>
                  </c:pt>
                  <c:pt idx="59">
                    <c:v>Instituto Conexão</c:v>
                  </c:pt>
                  <c:pt idx="60">
                    <c:v>INSTITUTO FUTURE DE JUVENTUDE, PROMOÇÃO, TURISMO, CULTURA E DESENVOLVIMENTO SUSTENTÁVEL</c:v>
                  </c:pt>
                  <c:pt idx="61">
                    <c:v>INSTITUTO RESGATE ONG ESCOLA VOLUNTARIA AGRICOLA</c:v>
                  </c:pt>
                  <c:pt idx="62">
                    <c:v>INSTITUTO SOCIAL DE CAPELANIA EDUCACIONAL E CULTURAL DO MARANHAO ISCEC MA</c:v>
                  </c:pt>
                  <c:pt idx="63">
                    <c:v>Instituto Somar Solução Brasil</c:v>
                  </c:pt>
                  <c:pt idx="64">
                    <c:v>FUNDACAO WALL FERRAZ</c:v>
                  </c:pt>
                  <c:pt idx="65">
                    <c:v>INSTITUTO NACIONAL DE PARCERIAS PUBLICAS - INPP</c:v>
                  </c:pt>
                  <c:pt idx="66">
                    <c:v>AT do Brasil</c:v>
                  </c:pt>
                  <c:pt idx="67">
                    <c:v>Incluir Treinamentos</c:v>
                  </c:pt>
                  <c:pt idx="68">
                    <c:v>Universidade Federal do Fluminense - UFF</c:v>
                  </c:pt>
                </c:lvl>
                <c:lvl>
                  <c:pt idx="0">
                    <c:v>PREFEITURAS</c:v>
                  </c:pt>
                  <c:pt idx="1">
                    <c:v>PREFEITURAS</c:v>
                  </c:pt>
                  <c:pt idx="2">
                    <c:v>PREFEITURAS</c:v>
                  </c:pt>
                  <c:pt idx="3">
                    <c:v>PREFEITURAS</c:v>
                  </c:pt>
                  <c:pt idx="4">
                    <c:v>PREFEITURAS</c:v>
                  </c:pt>
                  <c:pt idx="5">
                    <c:v>PREFEITURAS</c:v>
                  </c:pt>
                  <c:pt idx="6">
                    <c:v>PREFEITURAS</c:v>
                  </c:pt>
                  <c:pt idx="7">
                    <c:v>PREFEITURAS</c:v>
                  </c:pt>
                  <c:pt idx="8">
                    <c:v>PREFEITURAS</c:v>
                  </c:pt>
                  <c:pt idx="9">
                    <c:v>PREFEITURAS</c:v>
                  </c:pt>
                  <c:pt idx="10">
                    <c:v>PREFEITURAS</c:v>
                  </c:pt>
                  <c:pt idx="11">
                    <c:v>PREFEITURAS</c:v>
                  </c:pt>
                  <c:pt idx="12">
                    <c:v>PREFEITURAS</c:v>
                  </c:pt>
                  <c:pt idx="13">
                    <c:v>PREFEITURAS</c:v>
                  </c:pt>
                  <c:pt idx="14">
                    <c:v>PREFEITURAS</c:v>
                  </c:pt>
                  <c:pt idx="15">
                    <c:v>ESTADO</c:v>
                  </c:pt>
                  <c:pt idx="16">
                    <c:v>ESTADO</c:v>
                  </c:pt>
                  <c:pt idx="17">
                    <c:v>ESTADO</c:v>
                  </c:pt>
                  <c:pt idx="18">
                    <c:v>ESTADO</c:v>
                  </c:pt>
                  <c:pt idx="19">
                    <c:v>ESTADO</c:v>
                  </c:pt>
                  <c:pt idx="20">
                    <c:v>ESTADO</c:v>
                  </c:pt>
                  <c:pt idx="21">
                    <c:v>ESTADO</c:v>
                  </c:pt>
                  <c:pt idx="22">
                    <c:v>ESTADO</c:v>
                  </c:pt>
                  <c:pt idx="23">
                    <c:v>ESTADO</c:v>
                  </c:pt>
                  <c:pt idx="24">
                    <c:v>INSTITUTOS FEDERAIS</c:v>
                  </c:pt>
                  <c:pt idx="25">
                    <c:v>INSTITUTOS FEDERAIS</c:v>
                  </c:pt>
                  <c:pt idx="26">
                    <c:v>UNIVERSIDADES</c:v>
                  </c:pt>
                  <c:pt idx="27">
                    <c:v>INSTITUTOS FEDERAIS</c:v>
                  </c:pt>
                  <c:pt idx="28">
                    <c:v>INSTITUTOS FEDERAIS</c:v>
                  </c:pt>
                  <c:pt idx="29">
                    <c:v>UNIVERSIDADES</c:v>
                  </c:pt>
                  <c:pt idx="30">
                    <c:v>UNIVERSIDADES</c:v>
                  </c:pt>
                  <c:pt idx="31">
                    <c:v>INSTITUTOS FEDERAIS</c:v>
                  </c:pt>
                  <c:pt idx="32">
                    <c:v>UNIVERSIDADES</c:v>
                  </c:pt>
                  <c:pt idx="33">
                    <c:v>INSTITUTOS FEDERAIS</c:v>
                  </c:pt>
                  <c:pt idx="34">
                    <c:v>INSTITUTOS FEDERAIS</c:v>
                  </c:pt>
                  <c:pt idx="35">
                    <c:v>INSTITUTOS FEDERAIS</c:v>
                  </c:pt>
                  <c:pt idx="36">
                    <c:v>UNIVERSIDADES</c:v>
                  </c:pt>
                  <c:pt idx="37">
                    <c:v>UNIVERSIDADES</c:v>
                  </c:pt>
                  <c:pt idx="38">
                    <c:v>INSTITUTOS FEDERAIS</c:v>
                  </c:pt>
                  <c:pt idx="39">
                    <c:v>UNIVERSIDADES</c:v>
                  </c:pt>
                  <c:pt idx="40">
                    <c:v>UNIVERSIDADES</c:v>
                  </c:pt>
                  <c:pt idx="41">
                    <c:v>INSTITUTOS FEDERAIS</c:v>
                  </c:pt>
                  <c:pt idx="42">
                    <c:v>INSTITUTOS FEDERAIS</c:v>
                  </c:pt>
                  <c:pt idx="43">
                    <c:v>UNIVERSIDADES</c:v>
                  </c:pt>
                  <c:pt idx="44">
                    <c:v>INSTITUTOS FEDERAIS</c:v>
                  </c:pt>
                  <c:pt idx="45">
                    <c:v>INSTITUTOS FEDERAIS</c:v>
                  </c:pt>
                  <c:pt idx="46">
                    <c:v>SISTEMA S</c:v>
                  </c:pt>
                  <c:pt idx="47">
                    <c:v>SISTEMA S</c:v>
                  </c:pt>
                  <c:pt idx="48">
                    <c:v>SISTEMA S</c:v>
                  </c:pt>
                  <c:pt idx="49">
                    <c:v>SISTEMA S</c:v>
                  </c:pt>
                  <c:pt idx="50">
                    <c:v>SISTEMA S</c:v>
                  </c:pt>
                  <c:pt idx="51">
                    <c:v>SISTEMA S</c:v>
                  </c:pt>
                  <c:pt idx="52">
                    <c:v>SISTEMA S</c:v>
                  </c:pt>
                  <c:pt idx="53">
                    <c:v>SISTEMA S</c:v>
                  </c:pt>
                  <c:pt idx="54">
                    <c:v>SISTEMA S</c:v>
                  </c:pt>
                  <c:pt idx="55">
                    <c:v>SISTEMA S</c:v>
                  </c:pt>
                  <c:pt idx="56">
                    <c:v>ORGANIZAÇÕES PARCEIRAS, ONGs</c:v>
                  </c:pt>
                  <c:pt idx="57">
                    <c:v>ORGANIZAÇÕES PARCEIRAS, ONGs</c:v>
                  </c:pt>
                  <c:pt idx="58">
                    <c:v>ORGANIZAÇÕES PARCEIRAS, ONGs</c:v>
                  </c:pt>
                  <c:pt idx="59">
                    <c:v>ORGANIZAÇÕES PARCEIRAS, ONGs</c:v>
                  </c:pt>
                  <c:pt idx="60">
                    <c:v>ORGANIZAÇÕES PARCEIRAS, ONGs</c:v>
                  </c:pt>
                  <c:pt idx="61">
                    <c:v>ORGANIZAÇÕES PARCEIRAS, ONGs</c:v>
                  </c:pt>
                  <c:pt idx="62">
                    <c:v>ORGANIZAÇÕES PARCEIRAS, ONGs</c:v>
                  </c:pt>
                  <c:pt idx="63">
                    <c:v>ORGANIZAÇÕES PARCEIRAS, ONGs</c:v>
                  </c:pt>
                  <c:pt idx="64">
                    <c:v>ESTADO</c:v>
                  </c:pt>
                  <c:pt idx="65">
                    <c:v>ORGANIZAÇÕES PARCEIRAS, ONGs</c:v>
                  </c:pt>
                  <c:pt idx="66">
                    <c:v>ORGANIZAÇÕES PARCEIRAS, ONGs</c:v>
                  </c:pt>
                  <c:pt idx="67">
                    <c:v>ORGANIZAÇÕES PARCEIRAS, ONGs</c:v>
                  </c:pt>
                  <c:pt idx="68">
                    <c:v>UNIVERSIDADES</c:v>
                  </c:pt>
                </c:lvl>
              </c:multiLvlStrCache>
            </c:multiLvlStrRef>
          </c:cat>
          <c:val>
            <c:numRef>
              <c:f>Geral!$F$2:$F$70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A1-47DC-B32F-6DFED6FB4896}"/>
            </c:ext>
          </c:extLst>
        </c:ser>
        <c:ser>
          <c:idx val="4"/>
          <c:order val="4"/>
          <c:tx>
            <c:strRef>
              <c:f>Geral!$H$1</c:f>
              <c:strCache>
                <c:ptCount val="1"/>
                <c:pt idx="0">
                  <c:v>UF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Geral!$A$2:$B$70</c:f>
              <c:multiLvlStrCache>
                <c:ptCount val="69"/>
                <c:lvl>
                  <c:pt idx="0">
                    <c:v>PREFEITURA MUNICIPAL DE CANINDÉ DE SÃO FRANCISCO</c:v>
                  </c:pt>
                  <c:pt idx="1">
                    <c:v>Prefeitura Municipal de Trajano de Moraes</c:v>
                  </c:pt>
                  <c:pt idx="2">
                    <c:v>Prefeitura Municipal de Nilópolis</c:v>
                  </c:pt>
                  <c:pt idx="3">
                    <c:v>Municipio de Porangatu</c:v>
                  </c:pt>
                  <c:pt idx="4">
                    <c:v>MUNICÍPIO DE CAPELA</c:v>
                  </c:pt>
                  <c:pt idx="5">
                    <c:v>Prefeitura Municipal de Tibau do Sul</c:v>
                  </c:pt>
                  <c:pt idx="6">
                    <c:v>Município de Iaçu</c:v>
                  </c:pt>
                  <c:pt idx="7">
                    <c:v>PREFEITURA MUNICIPAL DE WENCESLAU GUIMARÃES/BA</c:v>
                  </c:pt>
                  <c:pt idx="8">
                    <c:v>PREFEITURA MUNICIPAL DE SOBRAL</c:v>
                  </c:pt>
                  <c:pt idx="9">
                    <c:v>PREFEITURA MUNICIPAL DE SOBRAL</c:v>
                  </c:pt>
                  <c:pt idx="10">
                    <c:v>Prefeitura Municipal De Careiro</c:v>
                  </c:pt>
                  <c:pt idx="11">
                    <c:v>PREFEITURA MUNICIPAL DE CONDE/PB</c:v>
                  </c:pt>
                  <c:pt idx="12">
                    <c:v>Prefeitura Municipal de Italva</c:v>
                  </c:pt>
                  <c:pt idx="13">
                    <c:v>MUNICIPIO DE NATAL</c:v>
                  </c:pt>
                  <c:pt idx="14">
                    <c:v>MUNICIPIO DE NATAL</c:v>
                  </c:pt>
                  <c:pt idx="15">
                    <c:v>Secretaria Estadual de Turismo do Rio Grande do Norte SETUR-RN</c:v>
                  </c:pt>
                  <c:pt idx="16">
                    <c:v>EMPRESA ESTADUAL DE TURISMO - AMAZONASTUR</c:v>
                  </c:pt>
                  <c:pt idx="17">
                    <c:v>EMPRESA ESTADUAL DE TURISMO - AMAZONASTUR</c:v>
                  </c:pt>
                  <c:pt idx="18">
                    <c:v>SECRETARIA DE ESTADO ECONOMICO DO PIAUÍ – SDE - Teresina/PI</c:v>
                  </c:pt>
                  <c:pt idx="19">
                    <c:v>SECRETARIA DE ESTADO ECONOMICO DO PIAUÍ – SDE - Parnaíba/PI</c:v>
                  </c:pt>
                  <c:pt idx="20">
                    <c:v>SECRETARIA DE ESTADO ECONOMICO DO PIAUÍ – SDE - Luzilândia/PI</c:v>
                  </c:pt>
                  <c:pt idx="21">
                    <c:v>SECRETARIA DE ESTADO DE ASSISTENCIA SOCIAL, TRABALHO, EMPREGO E RENDA -SEASTER</c:v>
                  </c:pt>
                  <c:pt idx="22">
                    <c:v>Secretaria de Estado de Turismo – SETUR - PA</c:v>
                  </c:pt>
                  <c:pt idx="23">
                    <c:v>ESTADO DO ACRE</c:v>
                  </c:pt>
                  <c:pt idx="24">
                    <c:v>Instituto Federal de Educação, Ciência e Tecnologia do Maranhão - IFMA</c:v>
                  </c:pt>
                  <c:pt idx="25">
                    <c:v>Instituto Federal de Educação, Ciência e Tecnologia Do Piauí – IFPI</c:v>
                  </c:pt>
                  <c:pt idx="26">
                    <c:v>plataforma qualifica turismo (UFMA)</c:v>
                  </c:pt>
                  <c:pt idx="27">
                    <c:v>Instituto Federal de Educação, Ciência e Tecnologia da Paraíba - IFPB</c:v>
                  </c:pt>
                  <c:pt idx="28">
                    <c:v>Instituto Federal de Educação, Ciência e Tecnologia Sul-riograndense (IFSul)</c:v>
                  </c:pt>
                  <c:pt idx="29">
                    <c:v>Escola Nacional de Turismo (IFPA)</c:v>
                  </c:pt>
                  <c:pt idx="30">
                    <c:v>Universidade Federal do Fluminense - UFF</c:v>
                  </c:pt>
                  <c:pt idx="31">
                    <c:v>Instituto Federal de Educação, Ciência e Tecnologia do Tocantins -IFTO</c:v>
                  </c:pt>
                  <c:pt idx="32">
                    <c:v>plataforma qualifica turismo (UFMA)</c:v>
                  </c:pt>
                  <c:pt idx="33">
                    <c:v>Instituto Federal de Educação, Ciência e Tecnologia da Paraíba - IFPB</c:v>
                  </c:pt>
                  <c:pt idx="34">
                    <c:v>Instituto Federal de Educação, Ciência e Tecnologia Sul-riograndense (IFSul)</c:v>
                  </c:pt>
                  <c:pt idx="35">
                    <c:v>Instituto Federal de Educação, Ciência e Tecnologia do Tocantins -IFTO</c:v>
                  </c:pt>
                  <c:pt idx="36">
                    <c:v>Universidade Federal do Tocantins - UFT</c:v>
                  </c:pt>
                  <c:pt idx="37">
                    <c:v>Universidade Federal do Fluminense - UFF</c:v>
                  </c:pt>
                  <c:pt idx="38">
                    <c:v>Escola Nacional de Turismo (IFPA)</c:v>
                  </c:pt>
                  <c:pt idx="39">
                    <c:v>plataforma qualifica turismo (UFMA)</c:v>
                  </c:pt>
                  <c:pt idx="40">
                    <c:v>Universidade Federal do Tocantins - UFT</c:v>
                  </c:pt>
                  <c:pt idx="41">
                    <c:v>Instituto Federal de Educação, Ciência e Tecnologia da Paraíba - IFPB</c:v>
                  </c:pt>
                  <c:pt idx="42">
                    <c:v>Instituto Federal de Educação, Ciência e Tecnologia do Tocantins -IFTO</c:v>
                  </c:pt>
                  <c:pt idx="43">
                    <c:v>Universidade Federal do Fluminense - UFF</c:v>
                  </c:pt>
                  <c:pt idx="44">
                    <c:v>Instituto Federal de Educação, Ciência e Tecnologia do Ceará - IFCE</c:v>
                  </c:pt>
                  <c:pt idx="45">
                    <c:v>Instituto Federal de Educação, Ciência e Tecnologia Sul-riograndense (IFSul)</c:v>
                  </c:pt>
                  <c:pt idx="46">
                    <c:v>SERVIÇO NACIONAL DA APRESENDIZAGEM COMERCIAL - SENAC - AR/RN</c:v>
                  </c:pt>
                  <c:pt idx="47">
                    <c:v>SERVIÇO NACIONAL DA APRESENDIZAGEM COMERCIAL - SENAC - AR/RN</c:v>
                  </c:pt>
                  <c:pt idx="48">
                    <c:v>SERVIÇO NACIONAL DA APRESENDIZAGEM COMERCIAL - SENAC - AR/RN</c:v>
                  </c:pt>
                  <c:pt idx="49">
                    <c:v>SERVICO DE APOIO AS MICRO E PEQUENAS EMPRESAS DE SE - SEBRAE</c:v>
                  </c:pt>
                  <c:pt idx="50">
                    <c:v>ACT Sesc/Senac </c:v>
                  </c:pt>
                  <c:pt idx="51">
                    <c:v>ACT Sesc/Senac</c:v>
                  </c:pt>
                  <c:pt idx="52">
                    <c:v>Senac-PR
</c:v>
                  </c:pt>
                  <c:pt idx="53">
                    <c:v>Senac/PR</c:v>
                  </c:pt>
                  <c:pt idx="54">
                    <c:v>Senac/SC</c:v>
                  </c:pt>
                  <c:pt idx="55">
                    <c:v>Senac-Pará</c:v>
                  </c:pt>
                  <c:pt idx="56">
                    <c:v>Associação Brasileira da Indústria de Hotéis do Rio Grande do Norte - ABIH/RN</c:v>
                  </c:pt>
                  <c:pt idx="57">
                    <c:v>Associação Construir de Assistência Social</c:v>
                  </c:pt>
                  <c:pt idx="58">
                    <c:v>Instituto Conexão</c:v>
                  </c:pt>
                  <c:pt idx="59">
                    <c:v>Instituto Conexão</c:v>
                  </c:pt>
                  <c:pt idx="60">
                    <c:v>INSTITUTO FUTURE DE JUVENTUDE, PROMOÇÃO, TURISMO, CULTURA E DESENVOLVIMENTO SUSTENTÁVEL</c:v>
                  </c:pt>
                  <c:pt idx="61">
                    <c:v>INSTITUTO RESGATE ONG ESCOLA VOLUNTARIA AGRICOLA</c:v>
                  </c:pt>
                  <c:pt idx="62">
                    <c:v>INSTITUTO SOCIAL DE CAPELANIA EDUCACIONAL E CULTURAL DO MARANHAO ISCEC MA</c:v>
                  </c:pt>
                  <c:pt idx="63">
                    <c:v>Instituto Somar Solução Brasil</c:v>
                  </c:pt>
                  <c:pt idx="64">
                    <c:v>FUNDACAO WALL FERRAZ</c:v>
                  </c:pt>
                  <c:pt idx="65">
                    <c:v>INSTITUTO NACIONAL DE PARCERIAS PUBLICAS - INPP</c:v>
                  </c:pt>
                  <c:pt idx="66">
                    <c:v>AT do Brasil</c:v>
                  </c:pt>
                  <c:pt idx="67">
                    <c:v>Incluir Treinamentos</c:v>
                  </c:pt>
                  <c:pt idx="68">
                    <c:v>Universidade Federal do Fluminense - UFF</c:v>
                  </c:pt>
                </c:lvl>
                <c:lvl>
                  <c:pt idx="0">
                    <c:v>PREFEITURAS</c:v>
                  </c:pt>
                  <c:pt idx="1">
                    <c:v>PREFEITURAS</c:v>
                  </c:pt>
                  <c:pt idx="2">
                    <c:v>PREFEITURAS</c:v>
                  </c:pt>
                  <c:pt idx="3">
                    <c:v>PREFEITURAS</c:v>
                  </c:pt>
                  <c:pt idx="4">
                    <c:v>PREFEITURAS</c:v>
                  </c:pt>
                  <c:pt idx="5">
                    <c:v>PREFEITURAS</c:v>
                  </c:pt>
                  <c:pt idx="6">
                    <c:v>PREFEITURAS</c:v>
                  </c:pt>
                  <c:pt idx="7">
                    <c:v>PREFEITURAS</c:v>
                  </c:pt>
                  <c:pt idx="8">
                    <c:v>PREFEITURAS</c:v>
                  </c:pt>
                  <c:pt idx="9">
                    <c:v>PREFEITURAS</c:v>
                  </c:pt>
                  <c:pt idx="10">
                    <c:v>PREFEITURAS</c:v>
                  </c:pt>
                  <c:pt idx="11">
                    <c:v>PREFEITURAS</c:v>
                  </c:pt>
                  <c:pt idx="12">
                    <c:v>PREFEITURAS</c:v>
                  </c:pt>
                  <c:pt idx="13">
                    <c:v>PREFEITURAS</c:v>
                  </c:pt>
                  <c:pt idx="14">
                    <c:v>PREFEITURAS</c:v>
                  </c:pt>
                  <c:pt idx="15">
                    <c:v>ESTADO</c:v>
                  </c:pt>
                  <c:pt idx="16">
                    <c:v>ESTADO</c:v>
                  </c:pt>
                  <c:pt idx="17">
                    <c:v>ESTADO</c:v>
                  </c:pt>
                  <c:pt idx="18">
                    <c:v>ESTADO</c:v>
                  </c:pt>
                  <c:pt idx="19">
                    <c:v>ESTADO</c:v>
                  </c:pt>
                  <c:pt idx="20">
                    <c:v>ESTADO</c:v>
                  </c:pt>
                  <c:pt idx="21">
                    <c:v>ESTADO</c:v>
                  </c:pt>
                  <c:pt idx="22">
                    <c:v>ESTADO</c:v>
                  </c:pt>
                  <c:pt idx="23">
                    <c:v>ESTADO</c:v>
                  </c:pt>
                  <c:pt idx="24">
                    <c:v>INSTITUTOS FEDERAIS</c:v>
                  </c:pt>
                  <c:pt idx="25">
                    <c:v>INSTITUTOS FEDERAIS</c:v>
                  </c:pt>
                  <c:pt idx="26">
                    <c:v>UNIVERSIDADES</c:v>
                  </c:pt>
                  <c:pt idx="27">
                    <c:v>INSTITUTOS FEDERAIS</c:v>
                  </c:pt>
                  <c:pt idx="28">
                    <c:v>INSTITUTOS FEDERAIS</c:v>
                  </c:pt>
                  <c:pt idx="29">
                    <c:v>UNIVERSIDADES</c:v>
                  </c:pt>
                  <c:pt idx="30">
                    <c:v>UNIVERSIDADES</c:v>
                  </c:pt>
                  <c:pt idx="31">
                    <c:v>INSTITUTOS FEDERAIS</c:v>
                  </c:pt>
                  <c:pt idx="32">
                    <c:v>UNIVERSIDADES</c:v>
                  </c:pt>
                  <c:pt idx="33">
                    <c:v>INSTITUTOS FEDERAIS</c:v>
                  </c:pt>
                  <c:pt idx="34">
                    <c:v>INSTITUTOS FEDERAIS</c:v>
                  </c:pt>
                  <c:pt idx="35">
                    <c:v>INSTITUTOS FEDERAIS</c:v>
                  </c:pt>
                  <c:pt idx="36">
                    <c:v>UNIVERSIDADES</c:v>
                  </c:pt>
                  <c:pt idx="37">
                    <c:v>UNIVERSIDADES</c:v>
                  </c:pt>
                  <c:pt idx="38">
                    <c:v>INSTITUTOS FEDERAIS</c:v>
                  </c:pt>
                  <c:pt idx="39">
                    <c:v>UNIVERSIDADES</c:v>
                  </c:pt>
                  <c:pt idx="40">
                    <c:v>UNIVERSIDADES</c:v>
                  </c:pt>
                  <c:pt idx="41">
                    <c:v>INSTITUTOS FEDERAIS</c:v>
                  </c:pt>
                  <c:pt idx="42">
                    <c:v>INSTITUTOS FEDERAIS</c:v>
                  </c:pt>
                  <c:pt idx="43">
                    <c:v>UNIVERSIDADES</c:v>
                  </c:pt>
                  <c:pt idx="44">
                    <c:v>INSTITUTOS FEDERAIS</c:v>
                  </c:pt>
                  <c:pt idx="45">
                    <c:v>INSTITUTOS FEDERAIS</c:v>
                  </c:pt>
                  <c:pt idx="46">
                    <c:v>SISTEMA S</c:v>
                  </c:pt>
                  <c:pt idx="47">
                    <c:v>SISTEMA S</c:v>
                  </c:pt>
                  <c:pt idx="48">
                    <c:v>SISTEMA S</c:v>
                  </c:pt>
                  <c:pt idx="49">
                    <c:v>SISTEMA S</c:v>
                  </c:pt>
                  <c:pt idx="50">
                    <c:v>SISTEMA S</c:v>
                  </c:pt>
                  <c:pt idx="51">
                    <c:v>SISTEMA S</c:v>
                  </c:pt>
                  <c:pt idx="52">
                    <c:v>SISTEMA S</c:v>
                  </c:pt>
                  <c:pt idx="53">
                    <c:v>SISTEMA S</c:v>
                  </c:pt>
                  <c:pt idx="54">
                    <c:v>SISTEMA S</c:v>
                  </c:pt>
                  <c:pt idx="55">
                    <c:v>SISTEMA S</c:v>
                  </c:pt>
                  <c:pt idx="56">
                    <c:v>ORGANIZAÇÕES PARCEIRAS, ONGs</c:v>
                  </c:pt>
                  <c:pt idx="57">
                    <c:v>ORGANIZAÇÕES PARCEIRAS, ONGs</c:v>
                  </c:pt>
                  <c:pt idx="58">
                    <c:v>ORGANIZAÇÕES PARCEIRAS, ONGs</c:v>
                  </c:pt>
                  <c:pt idx="59">
                    <c:v>ORGANIZAÇÕES PARCEIRAS, ONGs</c:v>
                  </c:pt>
                  <c:pt idx="60">
                    <c:v>ORGANIZAÇÕES PARCEIRAS, ONGs</c:v>
                  </c:pt>
                  <c:pt idx="61">
                    <c:v>ORGANIZAÇÕES PARCEIRAS, ONGs</c:v>
                  </c:pt>
                  <c:pt idx="62">
                    <c:v>ORGANIZAÇÕES PARCEIRAS, ONGs</c:v>
                  </c:pt>
                  <c:pt idx="63">
                    <c:v>ORGANIZAÇÕES PARCEIRAS, ONGs</c:v>
                  </c:pt>
                  <c:pt idx="64">
                    <c:v>ESTADO</c:v>
                  </c:pt>
                  <c:pt idx="65">
                    <c:v>ORGANIZAÇÕES PARCEIRAS, ONGs</c:v>
                  </c:pt>
                  <c:pt idx="66">
                    <c:v>ORGANIZAÇÕES PARCEIRAS, ONGs</c:v>
                  </c:pt>
                  <c:pt idx="67">
                    <c:v>ORGANIZAÇÕES PARCEIRAS, ONGs</c:v>
                  </c:pt>
                  <c:pt idx="68">
                    <c:v>UNIVERSIDADES</c:v>
                  </c:pt>
                </c:lvl>
              </c:multiLvlStrCache>
            </c:multiLvlStrRef>
          </c:cat>
          <c:val>
            <c:numRef>
              <c:f>Geral!$H$2:$H$70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A1-47DC-B32F-6DFED6FB4896}"/>
            </c:ext>
          </c:extLst>
        </c:ser>
        <c:ser>
          <c:idx val="5"/>
          <c:order val="5"/>
          <c:tx>
            <c:strRef>
              <c:f>Geral!$I$1</c:f>
              <c:strCache>
                <c:ptCount val="1"/>
                <c:pt idx="0">
                  <c:v>Cidade Sede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Geral!$A$2:$B$70</c:f>
              <c:multiLvlStrCache>
                <c:ptCount val="69"/>
                <c:lvl>
                  <c:pt idx="0">
                    <c:v>PREFEITURA MUNICIPAL DE CANINDÉ DE SÃO FRANCISCO</c:v>
                  </c:pt>
                  <c:pt idx="1">
                    <c:v>Prefeitura Municipal de Trajano de Moraes</c:v>
                  </c:pt>
                  <c:pt idx="2">
                    <c:v>Prefeitura Municipal de Nilópolis</c:v>
                  </c:pt>
                  <c:pt idx="3">
                    <c:v>Municipio de Porangatu</c:v>
                  </c:pt>
                  <c:pt idx="4">
                    <c:v>MUNICÍPIO DE CAPELA</c:v>
                  </c:pt>
                  <c:pt idx="5">
                    <c:v>Prefeitura Municipal de Tibau do Sul</c:v>
                  </c:pt>
                  <c:pt idx="6">
                    <c:v>Município de Iaçu</c:v>
                  </c:pt>
                  <c:pt idx="7">
                    <c:v>PREFEITURA MUNICIPAL DE WENCESLAU GUIMARÃES/BA</c:v>
                  </c:pt>
                  <c:pt idx="8">
                    <c:v>PREFEITURA MUNICIPAL DE SOBRAL</c:v>
                  </c:pt>
                  <c:pt idx="9">
                    <c:v>PREFEITURA MUNICIPAL DE SOBRAL</c:v>
                  </c:pt>
                  <c:pt idx="10">
                    <c:v>Prefeitura Municipal De Careiro</c:v>
                  </c:pt>
                  <c:pt idx="11">
                    <c:v>PREFEITURA MUNICIPAL DE CONDE/PB</c:v>
                  </c:pt>
                  <c:pt idx="12">
                    <c:v>Prefeitura Municipal de Italva</c:v>
                  </c:pt>
                  <c:pt idx="13">
                    <c:v>MUNICIPIO DE NATAL</c:v>
                  </c:pt>
                  <c:pt idx="14">
                    <c:v>MUNICIPIO DE NATAL</c:v>
                  </c:pt>
                  <c:pt idx="15">
                    <c:v>Secretaria Estadual de Turismo do Rio Grande do Norte SETUR-RN</c:v>
                  </c:pt>
                  <c:pt idx="16">
                    <c:v>EMPRESA ESTADUAL DE TURISMO - AMAZONASTUR</c:v>
                  </c:pt>
                  <c:pt idx="17">
                    <c:v>EMPRESA ESTADUAL DE TURISMO - AMAZONASTUR</c:v>
                  </c:pt>
                  <c:pt idx="18">
                    <c:v>SECRETARIA DE ESTADO ECONOMICO DO PIAUÍ – SDE - Teresina/PI</c:v>
                  </c:pt>
                  <c:pt idx="19">
                    <c:v>SECRETARIA DE ESTADO ECONOMICO DO PIAUÍ – SDE - Parnaíba/PI</c:v>
                  </c:pt>
                  <c:pt idx="20">
                    <c:v>SECRETARIA DE ESTADO ECONOMICO DO PIAUÍ – SDE - Luzilândia/PI</c:v>
                  </c:pt>
                  <c:pt idx="21">
                    <c:v>SECRETARIA DE ESTADO DE ASSISTENCIA SOCIAL, TRABALHO, EMPREGO E RENDA -SEASTER</c:v>
                  </c:pt>
                  <c:pt idx="22">
                    <c:v>Secretaria de Estado de Turismo – SETUR - PA</c:v>
                  </c:pt>
                  <c:pt idx="23">
                    <c:v>ESTADO DO ACRE</c:v>
                  </c:pt>
                  <c:pt idx="24">
                    <c:v>Instituto Federal de Educação, Ciência e Tecnologia do Maranhão - IFMA</c:v>
                  </c:pt>
                  <c:pt idx="25">
                    <c:v>Instituto Federal de Educação, Ciência e Tecnologia Do Piauí – IFPI</c:v>
                  </c:pt>
                  <c:pt idx="26">
                    <c:v>plataforma qualifica turismo (UFMA)</c:v>
                  </c:pt>
                  <c:pt idx="27">
                    <c:v>Instituto Federal de Educação, Ciência e Tecnologia da Paraíba - IFPB</c:v>
                  </c:pt>
                  <c:pt idx="28">
                    <c:v>Instituto Federal de Educação, Ciência e Tecnologia Sul-riograndense (IFSul)</c:v>
                  </c:pt>
                  <c:pt idx="29">
                    <c:v>Escola Nacional de Turismo (IFPA)</c:v>
                  </c:pt>
                  <c:pt idx="30">
                    <c:v>Universidade Federal do Fluminense - UFF</c:v>
                  </c:pt>
                  <c:pt idx="31">
                    <c:v>Instituto Federal de Educação, Ciência e Tecnologia do Tocantins -IFTO</c:v>
                  </c:pt>
                  <c:pt idx="32">
                    <c:v>plataforma qualifica turismo (UFMA)</c:v>
                  </c:pt>
                  <c:pt idx="33">
                    <c:v>Instituto Federal de Educação, Ciência e Tecnologia da Paraíba - IFPB</c:v>
                  </c:pt>
                  <c:pt idx="34">
                    <c:v>Instituto Federal de Educação, Ciência e Tecnologia Sul-riograndense (IFSul)</c:v>
                  </c:pt>
                  <c:pt idx="35">
                    <c:v>Instituto Federal de Educação, Ciência e Tecnologia do Tocantins -IFTO</c:v>
                  </c:pt>
                  <c:pt idx="36">
                    <c:v>Universidade Federal do Tocantins - UFT</c:v>
                  </c:pt>
                  <c:pt idx="37">
                    <c:v>Universidade Federal do Fluminense - UFF</c:v>
                  </c:pt>
                  <c:pt idx="38">
                    <c:v>Escola Nacional de Turismo (IFPA)</c:v>
                  </c:pt>
                  <c:pt idx="39">
                    <c:v>plataforma qualifica turismo (UFMA)</c:v>
                  </c:pt>
                  <c:pt idx="40">
                    <c:v>Universidade Federal do Tocantins - UFT</c:v>
                  </c:pt>
                  <c:pt idx="41">
                    <c:v>Instituto Federal de Educação, Ciência e Tecnologia da Paraíba - IFPB</c:v>
                  </c:pt>
                  <c:pt idx="42">
                    <c:v>Instituto Federal de Educação, Ciência e Tecnologia do Tocantins -IFTO</c:v>
                  </c:pt>
                  <c:pt idx="43">
                    <c:v>Universidade Federal do Fluminense - UFF</c:v>
                  </c:pt>
                  <c:pt idx="44">
                    <c:v>Instituto Federal de Educação, Ciência e Tecnologia do Ceará - IFCE</c:v>
                  </c:pt>
                  <c:pt idx="45">
                    <c:v>Instituto Federal de Educação, Ciência e Tecnologia Sul-riograndense (IFSul)</c:v>
                  </c:pt>
                  <c:pt idx="46">
                    <c:v>SERVIÇO NACIONAL DA APRESENDIZAGEM COMERCIAL - SENAC - AR/RN</c:v>
                  </c:pt>
                  <c:pt idx="47">
                    <c:v>SERVIÇO NACIONAL DA APRESENDIZAGEM COMERCIAL - SENAC - AR/RN</c:v>
                  </c:pt>
                  <c:pt idx="48">
                    <c:v>SERVIÇO NACIONAL DA APRESENDIZAGEM COMERCIAL - SENAC - AR/RN</c:v>
                  </c:pt>
                  <c:pt idx="49">
                    <c:v>SERVICO DE APOIO AS MICRO E PEQUENAS EMPRESAS DE SE - SEBRAE</c:v>
                  </c:pt>
                  <c:pt idx="50">
                    <c:v>ACT Sesc/Senac </c:v>
                  </c:pt>
                  <c:pt idx="51">
                    <c:v>ACT Sesc/Senac</c:v>
                  </c:pt>
                  <c:pt idx="52">
                    <c:v>Senac-PR
</c:v>
                  </c:pt>
                  <c:pt idx="53">
                    <c:v>Senac/PR</c:v>
                  </c:pt>
                  <c:pt idx="54">
                    <c:v>Senac/SC</c:v>
                  </c:pt>
                  <c:pt idx="55">
                    <c:v>Senac-Pará</c:v>
                  </c:pt>
                  <c:pt idx="56">
                    <c:v>Associação Brasileira da Indústria de Hotéis do Rio Grande do Norte - ABIH/RN</c:v>
                  </c:pt>
                  <c:pt idx="57">
                    <c:v>Associação Construir de Assistência Social</c:v>
                  </c:pt>
                  <c:pt idx="58">
                    <c:v>Instituto Conexão</c:v>
                  </c:pt>
                  <c:pt idx="59">
                    <c:v>Instituto Conexão</c:v>
                  </c:pt>
                  <c:pt idx="60">
                    <c:v>INSTITUTO FUTURE DE JUVENTUDE, PROMOÇÃO, TURISMO, CULTURA E DESENVOLVIMENTO SUSTENTÁVEL</c:v>
                  </c:pt>
                  <c:pt idx="61">
                    <c:v>INSTITUTO RESGATE ONG ESCOLA VOLUNTARIA AGRICOLA</c:v>
                  </c:pt>
                  <c:pt idx="62">
                    <c:v>INSTITUTO SOCIAL DE CAPELANIA EDUCACIONAL E CULTURAL DO MARANHAO ISCEC MA</c:v>
                  </c:pt>
                  <c:pt idx="63">
                    <c:v>Instituto Somar Solução Brasil</c:v>
                  </c:pt>
                  <c:pt idx="64">
                    <c:v>FUNDACAO WALL FERRAZ</c:v>
                  </c:pt>
                  <c:pt idx="65">
                    <c:v>INSTITUTO NACIONAL DE PARCERIAS PUBLICAS - INPP</c:v>
                  </c:pt>
                  <c:pt idx="66">
                    <c:v>AT do Brasil</c:v>
                  </c:pt>
                  <c:pt idx="67">
                    <c:v>Incluir Treinamentos</c:v>
                  </c:pt>
                  <c:pt idx="68">
                    <c:v>Universidade Federal do Fluminense - UFF</c:v>
                  </c:pt>
                </c:lvl>
                <c:lvl>
                  <c:pt idx="0">
                    <c:v>PREFEITURAS</c:v>
                  </c:pt>
                  <c:pt idx="1">
                    <c:v>PREFEITURAS</c:v>
                  </c:pt>
                  <c:pt idx="2">
                    <c:v>PREFEITURAS</c:v>
                  </c:pt>
                  <c:pt idx="3">
                    <c:v>PREFEITURAS</c:v>
                  </c:pt>
                  <c:pt idx="4">
                    <c:v>PREFEITURAS</c:v>
                  </c:pt>
                  <c:pt idx="5">
                    <c:v>PREFEITURAS</c:v>
                  </c:pt>
                  <c:pt idx="6">
                    <c:v>PREFEITURAS</c:v>
                  </c:pt>
                  <c:pt idx="7">
                    <c:v>PREFEITURAS</c:v>
                  </c:pt>
                  <c:pt idx="8">
                    <c:v>PREFEITURAS</c:v>
                  </c:pt>
                  <c:pt idx="9">
                    <c:v>PREFEITURAS</c:v>
                  </c:pt>
                  <c:pt idx="10">
                    <c:v>PREFEITURAS</c:v>
                  </c:pt>
                  <c:pt idx="11">
                    <c:v>PREFEITURAS</c:v>
                  </c:pt>
                  <c:pt idx="12">
                    <c:v>PREFEITURAS</c:v>
                  </c:pt>
                  <c:pt idx="13">
                    <c:v>PREFEITURAS</c:v>
                  </c:pt>
                  <c:pt idx="14">
                    <c:v>PREFEITURAS</c:v>
                  </c:pt>
                  <c:pt idx="15">
                    <c:v>ESTADO</c:v>
                  </c:pt>
                  <c:pt idx="16">
                    <c:v>ESTADO</c:v>
                  </c:pt>
                  <c:pt idx="17">
                    <c:v>ESTADO</c:v>
                  </c:pt>
                  <c:pt idx="18">
                    <c:v>ESTADO</c:v>
                  </c:pt>
                  <c:pt idx="19">
                    <c:v>ESTADO</c:v>
                  </c:pt>
                  <c:pt idx="20">
                    <c:v>ESTADO</c:v>
                  </c:pt>
                  <c:pt idx="21">
                    <c:v>ESTADO</c:v>
                  </c:pt>
                  <c:pt idx="22">
                    <c:v>ESTADO</c:v>
                  </c:pt>
                  <c:pt idx="23">
                    <c:v>ESTADO</c:v>
                  </c:pt>
                  <c:pt idx="24">
                    <c:v>INSTITUTOS FEDERAIS</c:v>
                  </c:pt>
                  <c:pt idx="25">
                    <c:v>INSTITUTOS FEDERAIS</c:v>
                  </c:pt>
                  <c:pt idx="26">
                    <c:v>UNIVERSIDADES</c:v>
                  </c:pt>
                  <c:pt idx="27">
                    <c:v>INSTITUTOS FEDERAIS</c:v>
                  </c:pt>
                  <c:pt idx="28">
                    <c:v>INSTITUTOS FEDERAIS</c:v>
                  </c:pt>
                  <c:pt idx="29">
                    <c:v>UNIVERSIDADES</c:v>
                  </c:pt>
                  <c:pt idx="30">
                    <c:v>UNIVERSIDADES</c:v>
                  </c:pt>
                  <c:pt idx="31">
                    <c:v>INSTITUTOS FEDERAIS</c:v>
                  </c:pt>
                  <c:pt idx="32">
                    <c:v>UNIVERSIDADES</c:v>
                  </c:pt>
                  <c:pt idx="33">
                    <c:v>INSTITUTOS FEDERAIS</c:v>
                  </c:pt>
                  <c:pt idx="34">
                    <c:v>INSTITUTOS FEDERAIS</c:v>
                  </c:pt>
                  <c:pt idx="35">
                    <c:v>INSTITUTOS FEDERAIS</c:v>
                  </c:pt>
                  <c:pt idx="36">
                    <c:v>UNIVERSIDADES</c:v>
                  </c:pt>
                  <c:pt idx="37">
                    <c:v>UNIVERSIDADES</c:v>
                  </c:pt>
                  <c:pt idx="38">
                    <c:v>INSTITUTOS FEDERAIS</c:v>
                  </c:pt>
                  <c:pt idx="39">
                    <c:v>UNIVERSIDADES</c:v>
                  </c:pt>
                  <c:pt idx="40">
                    <c:v>UNIVERSIDADES</c:v>
                  </c:pt>
                  <c:pt idx="41">
                    <c:v>INSTITUTOS FEDERAIS</c:v>
                  </c:pt>
                  <c:pt idx="42">
                    <c:v>INSTITUTOS FEDERAIS</c:v>
                  </c:pt>
                  <c:pt idx="43">
                    <c:v>UNIVERSIDADES</c:v>
                  </c:pt>
                  <c:pt idx="44">
                    <c:v>INSTITUTOS FEDERAIS</c:v>
                  </c:pt>
                  <c:pt idx="45">
                    <c:v>INSTITUTOS FEDERAIS</c:v>
                  </c:pt>
                  <c:pt idx="46">
                    <c:v>SISTEMA S</c:v>
                  </c:pt>
                  <c:pt idx="47">
                    <c:v>SISTEMA S</c:v>
                  </c:pt>
                  <c:pt idx="48">
                    <c:v>SISTEMA S</c:v>
                  </c:pt>
                  <c:pt idx="49">
                    <c:v>SISTEMA S</c:v>
                  </c:pt>
                  <c:pt idx="50">
                    <c:v>SISTEMA S</c:v>
                  </c:pt>
                  <c:pt idx="51">
                    <c:v>SISTEMA S</c:v>
                  </c:pt>
                  <c:pt idx="52">
                    <c:v>SISTEMA S</c:v>
                  </c:pt>
                  <c:pt idx="53">
                    <c:v>SISTEMA S</c:v>
                  </c:pt>
                  <c:pt idx="54">
                    <c:v>SISTEMA S</c:v>
                  </c:pt>
                  <c:pt idx="55">
                    <c:v>SISTEMA S</c:v>
                  </c:pt>
                  <c:pt idx="56">
                    <c:v>ORGANIZAÇÕES PARCEIRAS, ONGs</c:v>
                  </c:pt>
                  <c:pt idx="57">
                    <c:v>ORGANIZAÇÕES PARCEIRAS, ONGs</c:v>
                  </c:pt>
                  <c:pt idx="58">
                    <c:v>ORGANIZAÇÕES PARCEIRAS, ONGs</c:v>
                  </c:pt>
                  <c:pt idx="59">
                    <c:v>ORGANIZAÇÕES PARCEIRAS, ONGs</c:v>
                  </c:pt>
                  <c:pt idx="60">
                    <c:v>ORGANIZAÇÕES PARCEIRAS, ONGs</c:v>
                  </c:pt>
                  <c:pt idx="61">
                    <c:v>ORGANIZAÇÕES PARCEIRAS, ONGs</c:v>
                  </c:pt>
                  <c:pt idx="62">
                    <c:v>ORGANIZAÇÕES PARCEIRAS, ONGs</c:v>
                  </c:pt>
                  <c:pt idx="63">
                    <c:v>ORGANIZAÇÕES PARCEIRAS, ONGs</c:v>
                  </c:pt>
                  <c:pt idx="64">
                    <c:v>ESTADO</c:v>
                  </c:pt>
                  <c:pt idx="65">
                    <c:v>ORGANIZAÇÕES PARCEIRAS, ONGs</c:v>
                  </c:pt>
                  <c:pt idx="66">
                    <c:v>ORGANIZAÇÕES PARCEIRAS, ONGs</c:v>
                  </c:pt>
                  <c:pt idx="67">
                    <c:v>ORGANIZAÇÕES PARCEIRAS, ONGs</c:v>
                  </c:pt>
                  <c:pt idx="68">
                    <c:v>UNIVERSIDADES</c:v>
                  </c:pt>
                </c:lvl>
              </c:multiLvlStrCache>
            </c:multiLvlStrRef>
          </c:cat>
          <c:val>
            <c:numRef>
              <c:f>Geral!$I$2:$I$70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A1-47DC-B32F-6DFED6FB4896}"/>
            </c:ext>
          </c:extLst>
        </c:ser>
        <c:ser>
          <c:idx val="6"/>
          <c:order val="6"/>
          <c:tx>
            <c:strRef>
              <c:f>Geral!$J$1</c:f>
              <c:strCache>
                <c:ptCount val="1"/>
                <c:pt idx="0">
                  <c:v>Local de Realização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Geral!$A$2:$B$70</c:f>
              <c:multiLvlStrCache>
                <c:ptCount val="69"/>
                <c:lvl>
                  <c:pt idx="0">
                    <c:v>PREFEITURA MUNICIPAL DE CANINDÉ DE SÃO FRANCISCO</c:v>
                  </c:pt>
                  <c:pt idx="1">
                    <c:v>Prefeitura Municipal de Trajano de Moraes</c:v>
                  </c:pt>
                  <c:pt idx="2">
                    <c:v>Prefeitura Municipal de Nilópolis</c:v>
                  </c:pt>
                  <c:pt idx="3">
                    <c:v>Municipio de Porangatu</c:v>
                  </c:pt>
                  <c:pt idx="4">
                    <c:v>MUNICÍPIO DE CAPELA</c:v>
                  </c:pt>
                  <c:pt idx="5">
                    <c:v>Prefeitura Municipal de Tibau do Sul</c:v>
                  </c:pt>
                  <c:pt idx="6">
                    <c:v>Município de Iaçu</c:v>
                  </c:pt>
                  <c:pt idx="7">
                    <c:v>PREFEITURA MUNICIPAL DE WENCESLAU GUIMARÃES/BA</c:v>
                  </c:pt>
                  <c:pt idx="8">
                    <c:v>PREFEITURA MUNICIPAL DE SOBRAL</c:v>
                  </c:pt>
                  <c:pt idx="9">
                    <c:v>PREFEITURA MUNICIPAL DE SOBRAL</c:v>
                  </c:pt>
                  <c:pt idx="10">
                    <c:v>Prefeitura Municipal De Careiro</c:v>
                  </c:pt>
                  <c:pt idx="11">
                    <c:v>PREFEITURA MUNICIPAL DE CONDE/PB</c:v>
                  </c:pt>
                  <c:pt idx="12">
                    <c:v>Prefeitura Municipal de Italva</c:v>
                  </c:pt>
                  <c:pt idx="13">
                    <c:v>MUNICIPIO DE NATAL</c:v>
                  </c:pt>
                  <c:pt idx="14">
                    <c:v>MUNICIPIO DE NATAL</c:v>
                  </c:pt>
                  <c:pt idx="15">
                    <c:v>Secretaria Estadual de Turismo do Rio Grande do Norte SETUR-RN</c:v>
                  </c:pt>
                  <c:pt idx="16">
                    <c:v>EMPRESA ESTADUAL DE TURISMO - AMAZONASTUR</c:v>
                  </c:pt>
                  <c:pt idx="17">
                    <c:v>EMPRESA ESTADUAL DE TURISMO - AMAZONASTUR</c:v>
                  </c:pt>
                  <c:pt idx="18">
                    <c:v>SECRETARIA DE ESTADO ECONOMICO DO PIAUÍ – SDE - Teresina/PI</c:v>
                  </c:pt>
                  <c:pt idx="19">
                    <c:v>SECRETARIA DE ESTADO ECONOMICO DO PIAUÍ – SDE - Parnaíba/PI</c:v>
                  </c:pt>
                  <c:pt idx="20">
                    <c:v>SECRETARIA DE ESTADO ECONOMICO DO PIAUÍ – SDE - Luzilândia/PI</c:v>
                  </c:pt>
                  <c:pt idx="21">
                    <c:v>SECRETARIA DE ESTADO DE ASSISTENCIA SOCIAL, TRABALHO, EMPREGO E RENDA -SEASTER</c:v>
                  </c:pt>
                  <c:pt idx="22">
                    <c:v>Secretaria de Estado de Turismo – SETUR - PA</c:v>
                  </c:pt>
                  <c:pt idx="23">
                    <c:v>ESTADO DO ACRE</c:v>
                  </c:pt>
                  <c:pt idx="24">
                    <c:v>Instituto Federal de Educação, Ciência e Tecnologia do Maranhão - IFMA</c:v>
                  </c:pt>
                  <c:pt idx="25">
                    <c:v>Instituto Federal de Educação, Ciência e Tecnologia Do Piauí – IFPI</c:v>
                  </c:pt>
                  <c:pt idx="26">
                    <c:v>plataforma qualifica turismo (UFMA)</c:v>
                  </c:pt>
                  <c:pt idx="27">
                    <c:v>Instituto Federal de Educação, Ciência e Tecnologia da Paraíba - IFPB</c:v>
                  </c:pt>
                  <c:pt idx="28">
                    <c:v>Instituto Federal de Educação, Ciência e Tecnologia Sul-riograndense (IFSul)</c:v>
                  </c:pt>
                  <c:pt idx="29">
                    <c:v>Escola Nacional de Turismo (IFPA)</c:v>
                  </c:pt>
                  <c:pt idx="30">
                    <c:v>Universidade Federal do Fluminense - UFF</c:v>
                  </c:pt>
                  <c:pt idx="31">
                    <c:v>Instituto Federal de Educação, Ciência e Tecnologia do Tocantins -IFTO</c:v>
                  </c:pt>
                  <c:pt idx="32">
                    <c:v>plataforma qualifica turismo (UFMA)</c:v>
                  </c:pt>
                  <c:pt idx="33">
                    <c:v>Instituto Federal de Educação, Ciência e Tecnologia da Paraíba - IFPB</c:v>
                  </c:pt>
                  <c:pt idx="34">
                    <c:v>Instituto Federal de Educação, Ciência e Tecnologia Sul-riograndense (IFSul)</c:v>
                  </c:pt>
                  <c:pt idx="35">
                    <c:v>Instituto Federal de Educação, Ciência e Tecnologia do Tocantins -IFTO</c:v>
                  </c:pt>
                  <c:pt idx="36">
                    <c:v>Universidade Federal do Tocantins - UFT</c:v>
                  </c:pt>
                  <c:pt idx="37">
                    <c:v>Universidade Federal do Fluminense - UFF</c:v>
                  </c:pt>
                  <c:pt idx="38">
                    <c:v>Escola Nacional de Turismo (IFPA)</c:v>
                  </c:pt>
                  <c:pt idx="39">
                    <c:v>plataforma qualifica turismo (UFMA)</c:v>
                  </c:pt>
                  <c:pt idx="40">
                    <c:v>Universidade Federal do Tocantins - UFT</c:v>
                  </c:pt>
                  <c:pt idx="41">
                    <c:v>Instituto Federal de Educação, Ciência e Tecnologia da Paraíba - IFPB</c:v>
                  </c:pt>
                  <c:pt idx="42">
                    <c:v>Instituto Federal de Educação, Ciência e Tecnologia do Tocantins -IFTO</c:v>
                  </c:pt>
                  <c:pt idx="43">
                    <c:v>Universidade Federal do Fluminense - UFF</c:v>
                  </c:pt>
                  <c:pt idx="44">
                    <c:v>Instituto Federal de Educação, Ciência e Tecnologia do Ceará - IFCE</c:v>
                  </c:pt>
                  <c:pt idx="45">
                    <c:v>Instituto Federal de Educação, Ciência e Tecnologia Sul-riograndense (IFSul)</c:v>
                  </c:pt>
                  <c:pt idx="46">
                    <c:v>SERVIÇO NACIONAL DA APRESENDIZAGEM COMERCIAL - SENAC - AR/RN</c:v>
                  </c:pt>
                  <c:pt idx="47">
                    <c:v>SERVIÇO NACIONAL DA APRESENDIZAGEM COMERCIAL - SENAC - AR/RN</c:v>
                  </c:pt>
                  <c:pt idx="48">
                    <c:v>SERVIÇO NACIONAL DA APRESENDIZAGEM COMERCIAL - SENAC - AR/RN</c:v>
                  </c:pt>
                  <c:pt idx="49">
                    <c:v>SERVICO DE APOIO AS MICRO E PEQUENAS EMPRESAS DE SE - SEBRAE</c:v>
                  </c:pt>
                  <c:pt idx="50">
                    <c:v>ACT Sesc/Senac </c:v>
                  </c:pt>
                  <c:pt idx="51">
                    <c:v>ACT Sesc/Senac</c:v>
                  </c:pt>
                  <c:pt idx="52">
                    <c:v>Senac-PR
</c:v>
                  </c:pt>
                  <c:pt idx="53">
                    <c:v>Senac/PR</c:v>
                  </c:pt>
                  <c:pt idx="54">
                    <c:v>Senac/SC</c:v>
                  </c:pt>
                  <c:pt idx="55">
                    <c:v>Senac-Pará</c:v>
                  </c:pt>
                  <c:pt idx="56">
                    <c:v>Associação Brasileira da Indústria de Hotéis do Rio Grande do Norte - ABIH/RN</c:v>
                  </c:pt>
                  <c:pt idx="57">
                    <c:v>Associação Construir de Assistência Social</c:v>
                  </c:pt>
                  <c:pt idx="58">
                    <c:v>Instituto Conexão</c:v>
                  </c:pt>
                  <c:pt idx="59">
                    <c:v>Instituto Conexão</c:v>
                  </c:pt>
                  <c:pt idx="60">
                    <c:v>INSTITUTO FUTURE DE JUVENTUDE, PROMOÇÃO, TURISMO, CULTURA E DESENVOLVIMENTO SUSTENTÁVEL</c:v>
                  </c:pt>
                  <c:pt idx="61">
                    <c:v>INSTITUTO RESGATE ONG ESCOLA VOLUNTARIA AGRICOLA</c:v>
                  </c:pt>
                  <c:pt idx="62">
                    <c:v>INSTITUTO SOCIAL DE CAPELANIA EDUCACIONAL E CULTURAL DO MARANHAO ISCEC MA</c:v>
                  </c:pt>
                  <c:pt idx="63">
                    <c:v>Instituto Somar Solução Brasil</c:v>
                  </c:pt>
                  <c:pt idx="64">
                    <c:v>FUNDACAO WALL FERRAZ</c:v>
                  </c:pt>
                  <c:pt idx="65">
                    <c:v>INSTITUTO NACIONAL DE PARCERIAS PUBLICAS - INPP</c:v>
                  </c:pt>
                  <c:pt idx="66">
                    <c:v>AT do Brasil</c:v>
                  </c:pt>
                  <c:pt idx="67">
                    <c:v>Incluir Treinamentos</c:v>
                  </c:pt>
                  <c:pt idx="68">
                    <c:v>Universidade Federal do Fluminense - UFF</c:v>
                  </c:pt>
                </c:lvl>
                <c:lvl>
                  <c:pt idx="0">
                    <c:v>PREFEITURAS</c:v>
                  </c:pt>
                  <c:pt idx="1">
                    <c:v>PREFEITURAS</c:v>
                  </c:pt>
                  <c:pt idx="2">
                    <c:v>PREFEITURAS</c:v>
                  </c:pt>
                  <c:pt idx="3">
                    <c:v>PREFEITURAS</c:v>
                  </c:pt>
                  <c:pt idx="4">
                    <c:v>PREFEITURAS</c:v>
                  </c:pt>
                  <c:pt idx="5">
                    <c:v>PREFEITURAS</c:v>
                  </c:pt>
                  <c:pt idx="6">
                    <c:v>PREFEITURAS</c:v>
                  </c:pt>
                  <c:pt idx="7">
                    <c:v>PREFEITURAS</c:v>
                  </c:pt>
                  <c:pt idx="8">
                    <c:v>PREFEITURAS</c:v>
                  </c:pt>
                  <c:pt idx="9">
                    <c:v>PREFEITURAS</c:v>
                  </c:pt>
                  <c:pt idx="10">
                    <c:v>PREFEITURAS</c:v>
                  </c:pt>
                  <c:pt idx="11">
                    <c:v>PREFEITURAS</c:v>
                  </c:pt>
                  <c:pt idx="12">
                    <c:v>PREFEITURAS</c:v>
                  </c:pt>
                  <c:pt idx="13">
                    <c:v>PREFEITURAS</c:v>
                  </c:pt>
                  <c:pt idx="14">
                    <c:v>PREFEITURAS</c:v>
                  </c:pt>
                  <c:pt idx="15">
                    <c:v>ESTADO</c:v>
                  </c:pt>
                  <c:pt idx="16">
                    <c:v>ESTADO</c:v>
                  </c:pt>
                  <c:pt idx="17">
                    <c:v>ESTADO</c:v>
                  </c:pt>
                  <c:pt idx="18">
                    <c:v>ESTADO</c:v>
                  </c:pt>
                  <c:pt idx="19">
                    <c:v>ESTADO</c:v>
                  </c:pt>
                  <c:pt idx="20">
                    <c:v>ESTADO</c:v>
                  </c:pt>
                  <c:pt idx="21">
                    <c:v>ESTADO</c:v>
                  </c:pt>
                  <c:pt idx="22">
                    <c:v>ESTADO</c:v>
                  </c:pt>
                  <c:pt idx="23">
                    <c:v>ESTADO</c:v>
                  </c:pt>
                  <c:pt idx="24">
                    <c:v>INSTITUTOS FEDERAIS</c:v>
                  </c:pt>
                  <c:pt idx="25">
                    <c:v>INSTITUTOS FEDERAIS</c:v>
                  </c:pt>
                  <c:pt idx="26">
                    <c:v>UNIVERSIDADES</c:v>
                  </c:pt>
                  <c:pt idx="27">
                    <c:v>INSTITUTOS FEDERAIS</c:v>
                  </c:pt>
                  <c:pt idx="28">
                    <c:v>INSTITUTOS FEDERAIS</c:v>
                  </c:pt>
                  <c:pt idx="29">
                    <c:v>UNIVERSIDADES</c:v>
                  </c:pt>
                  <c:pt idx="30">
                    <c:v>UNIVERSIDADES</c:v>
                  </c:pt>
                  <c:pt idx="31">
                    <c:v>INSTITUTOS FEDERAIS</c:v>
                  </c:pt>
                  <c:pt idx="32">
                    <c:v>UNIVERSIDADES</c:v>
                  </c:pt>
                  <c:pt idx="33">
                    <c:v>INSTITUTOS FEDERAIS</c:v>
                  </c:pt>
                  <c:pt idx="34">
                    <c:v>INSTITUTOS FEDERAIS</c:v>
                  </c:pt>
                  <c:pt idx="35">
                    <c:v>INSTITUTOS FEDERAIS</c:v>
                  </c:pt>
                  <c:pt idx="36">
                    <c:v>UNIVERSIDADES</c:v>
                  </c:pt>
                  <c:pt idx="37">
                    <c:v>UNIVERSIDADES</c:v>
                  </c:pt>
                  <c:pt idx="38">
                    <c:v>INSTITUTOS FEDERAIS</c:v>
                  </c:pt>
                  <c:pt idx="39">
                    <c:v>UNIVERSIDADES</c:v>
                  </c:pt>
                  <c:pt idx="40">
                    <c:v>UNIVERSIDADES</c:v>
                  </c:pt>
                  <c:pt idx="41">
                    <c:v>INSTITUTOS FEDERAIS</c:v>
                  </c:pt>
                  <c:pt idx="42">
                    <c:v>INSTITUTOS FEDERAIS</c:v>
                  </c:pt>
                  <c:pt idx="43">
                    <c:v>UNIVERSIDADES</c:v>
                  </c:pt>
                  <c:pt idx="44">
                    <c:v>INSTITUTOS FEDERAIS</c:v>
                  </c:pt>
                  <c:pt idx="45">
                    <c:v>INSTITUTOS FEDERAIS</c:v>
                  </c:pt>
                  <c:pt idx="46">
                    <c:v>SISTEMA S</c:v>
                  </c:pt>
                  <c:pt idx="47">
                    <c:v>SISTEMA S</c:v>
                  </c:pt>
                  <c:pt idx="48">
                    <c:v>SISTEMA S</c:v>
                  </c:pt>
                  <c:pt idx="49">
                    <c:v>SISTEMA S</c:v>
                  </c:pt>
                  <c:pt idx="50">
                    <c:v>SISTEMA S</c:v>
                  </c:pt>
                  <c:pt idx="51">
                    <c:v>SISTEMA S</c:v>
                  </c:pt>
                  <c:pt idx="52">
                    <c:v>SISTEMA S</c:v>
                  </c:pt>
                  <c:pt idx="53">
                    <c:v>SISTEMA S</c:v>
                  </c:pt>
                  <c:pt idx="54">
                    <c:v>SISTEMA S</c:v>
                  </c:pt>
                  <c:pt idx="55">
                    <c:v>SISTEMA S</c:v>
                  </c:pt>
                  <c:pt idx="56">
                    <c:v>ORGANIZAÇÕES PARCEIRAS, ONGs</c:v>
                  </c:pt>
                  <c:pt idx="57">
                    <c:v>ORGANIZAÇÕES PARCEIRAS, ONGs</c:v>
                  </c:pt>
                  <c:pt idx="58">
                    <c:v>ORGANIZAÇÕES PARCEIRAS, ONGs</c:v>
                  </c:pt>
                  <c:pt idx="59">
                    <c:v>ORGANIZAÇÕES PARCEIRAS, ONGs</c:v>
                  </c:pt>
                  <c:pt idx="60">
                    <c:v>ORGANIZAÇÕES PARCEIRAS, ONGs</c:v>
                  </c:pt>
                  <c:pt idx="61">
                    <c:v>ORGANIZAÇÕES PARCEIRAS, ONGs</c:v>
                  </c:pt>
                  <c:pt idx="62">
                    <c:v>ORGANIZAÇÕES PARCEIRAS, ONGs</c:v>
                  </c:pt>
                  <c:pt idx="63">
                    <c:v>ORGANIZAÇÕES PARCEIRAS, ONGs</c:v>
                  </c:pt>
                  <c:pt idx="64">
                    <c:v>ESTADO</c:v>
                  </c:pt>
                  <c:pt idx="65">
                    <c:v>ORGANIZAÇÕES PARCEIRAS, ONGs</c:v>
                  </c:pt>
                  <c:pt idx="66">
                    <c:v>ORGANIZAÇÕES PARCEIRAS, ONGs</c:v>
                  </c:pt>
                  <c:pt idx="67">
                    <c:v>ORGANIZAÇÕES PARCEIRAS, ONGs</c:v>
                  </c:pt>
                  <c:pt idx="68">
                    <c:v>UNIVERSIDADES</c:v>
                  </c:pt>
                </c:lvl>
              </c:multiLvlStrCache>
            </c:multiLvlStrRef>
          </c:cat>
          <c:val>
            <c:numRef>
              <c:f>Geral!$J$2:$J$70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A1-47DC-B32F-6DFED6FB4896}"/>
            </c:ext>
          </c:extLst>
        </c:ser>
        <c:ser>
          <c:idx val="7"/>
          <c:order val="7"/>
          <c:tx>
            <c:strRef>
              <c:f>Geral!$K$1</c:f>
              <c:strCache>
                <c:ptCount val="1"/>
                <c:pt idx="0">
                  <c:v>Cursos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Geral!$A$2:$B$70</c:f>
              <c:multiLvlStrCache>
                <c:ptCount val="69"/>
                <c:lvl>
                  <c:pt idx="0">
                    <c:v>PREFEITURA MUNICIPAL DE CANINDÉ DE SÃO FRANCISCO</c:v>
                  </c:pt>
                  <c:pt idx="1">
                    <c:v>Prefeitura Municipal de Trajano de Moraes</c:v>
                  </c:pt>
                  <c:pt idx="2">
                    <c:v>Prefeitura Municipal de Nilópolis</c:v>
                  </c:pt>
                  <c:pt idx="3">
                    <c:v>Municipio de Porangatu</c:v>
                  </c:pt>
                  <c:pt idx="4">
                    <c:v>MUNICÍPIO DE CAPELA</c:v>
                  </c:pt>
                  <c:pt idx="5">
                    <c:v>Prefeitura Municipal de Tibau do Sul</c:v>
                  </c:pt>
                  <c:pt idx="6">
                    <c:v>Município de Iaçu</c:v>
                  </c:pt>
                  <c:pt idx="7">
                    <c:v>PREFEITURA MUNICIPAL DE WENCESLAU GUIMARÃES/BA</c:v>
                  </c:pt>
                  <c:pt idx="8">
                    <c:v>PREFEITURA MUNICIPAL DE SOBRAL</c:v>
                  </c:pt>
                  <c:pt idx="9">
                    <c:v>PREFEITURA MUNICIPAL DE SOBRAL</c:v>
                  </c:pt>
                  <c:pt idx="10">
                    <c:v>Prefeitura Municipal De Careiro</c:v>
                  </c:pt>
                  <c:pt idx="11">
                    <c:v>PREFEITURA MUNICIPAL DE CONDE/PB</c:v>
                  </c:pt>
                  <c:pt idx="12">
                    <c:v>Prefeitura Municipal de Italva</c:v>
                  </c:pt>
                  <c:pt idx="13">
                    <c:v>MUNICIPIO DE NATAL</c:v>
                  </c:pt>
                  <c:pt idx="14">
                    <c:v>MUNICIPIO DE NATAL</c:v>
                  </c:pt>
                  <c:pt idx="15">
                    <c:v>Secretaria Estadual de Turismo do Rio Grande do Norte SETUR-RN</c:v>
                  </c:pt>
                  <c:pt idx="16">
                    <c:v>EMPRESA ESTADUAL DE TURISMO - AMAZONASTUR</c:v>
                  </c:pt>
                  <c:pt idx="17">
                    <c:v>EMPRESA ESTADUAL DE TURISMO - AMAZONASTUR</c:v>
                  </c:pt>
                  <c:pt idx="18">
                    <c:v>SECRETARIA DE ESTADO ECONOMICO DO PIAUÍ – SDE - Teresina/PI</c:v>
                  </c:pt>
                  <c:pt idx="19">
                    <c:v>SECRETARIA DE ESTADO ECONOMICO DO PIAUÍ – SDE - Parnaíba/PI</c:v>
                  </c:pt>
                  <c:pt idx="20">
                    <c:v>SECRETARIA DE ESTADO ECONOMICO DO PIAUÍ – SDE - Luzilândia/PI</c:v>
                  </c:pt>
                  <c:pt idx="21">
                    <c:v>SECRETARIA DE ESTADO DE ASSISTENCIA SOCIAL, TRABALHO, EMPREGO E RENDA -SEASTER</c:v>
                  </c:pt>
                  <c:pt idx="22">
                    <c:v>Secretaria de Estado de Turismo – SETUR - PA</c:v>
                  </c:pt>
                  <c:pt idx="23">
                    <c:v>ESTADO DO ACRE</c:v>
                  </c:pt>
                  <c:pt idx="24">
                    <c:v>Instituto Federal de Educação, Ciência e Tecnologia do Maranhão - IFMA</c:v>
                  </c:pt>
                  <c:pt idx="25">
                    <c:v>Instituto Federal de Educação, Ciência e Tecnologia Do Piauí – IFPI</c:v>
                  </c:pt>
                  <c:pt idx="26">
                    <c:v>plataforma qualifica turismo (UFMA)</c:v>
                  </c:pt>
                  <c:pt idx="27">
                    <c:v>Instituto Federal de Educação, Ciência e Tecnologia da Paraíba - IFPB</c:v>
                  </c:pt>
                  <c:pt idx="28">
                    <c:v>Instituto Federal de Educação, Ciência e Tecnologia Sul-riograndense (IFSul)</c:v>
                  </c:pt>
                  <c:pt idx="29">
                    <c:v>Escola Nacional de Turismo (IFPA)</c:v>
                  </c:pt>
                  <c:pt idx="30">
                    <c:v>Universidade Federal do Fluminense - UFF</c:v>
                  </c:pt>
                  <c:pt idx="31">
                    <c:v>Instituto Federal de Educação, Ciência e Tecnologia do Tocantins -IFTO</c:v>
                  </c:pt>
                  <c:pt idx="32">
                    <c:v>plataforma qualifica turismo (UFMA)</c:v>
                  </c:pt>
                  <c:pt idx="33">
                    <c:v>Instituto Federal de Educação, Ciência e Tecnologia da Paraíba - IFPB</c:v>
                  </c:pt>
                  <c:pt idx="34">
                    <c:v>Instituto Federal de Educação, Ciência e Tecnologia Sul-riograndense (IFSul)</c:v>
                  </c:pt>
                  <c:pt idx="35">
                    <c:v>Instituto Federal de Educação, Ciência e Tecnologia do Tocantins -IFTO</c:v>
                  </c:pt>
                  <c:pt idx="36">
                    <c:v>Universidade Federal do Tocantins - UFT</c:v>
                  </c:pt>
                  <c:pt idx="37">
                    <c:v>Universidade Federal do Fluminense - UFF</c:v>
                  </c:pt>
                  <c:pt idx="38">
                    <c:v>Escola Nacional de Turismo (IFPA)</c:v>
                  </c:pt>
                  <c:pt idx="39">
                    <c:v>plataforma qualifica turismo (UFMA)</c:v>
                  </c:pt>
                  <c:pt idx="40">
                    <c:v>Universidade Federal do Tocantins - UFT</c:v>
                  </c:pt>
                  <c:pt idx="41">
                    <c:v>Instituto Federal de Educação, Ciência e Tecnologia da Paraíba - IFPB</c:v>
                  </c:pt>
                  <c:pt idx="42">
                    <c:v>Instituto Federal de Educação, Ciência e Tecnologia do Tocantins -IFTO</c:v>
                  </c:pt>
                  <c:pt idx="43">
                    <c:v>Universidade Federal do Fluminense - UFF</c:v>
                  </c:pt>
                  <c:pt idx="44">
                    <c:v>Instituto Federal de Educação, Ciência e Tecnologia do Ceará - IFCE</c:v>
                  </c:pt>
                  <c:pt idx="45">
                    <c:v>Instituto Federal de Educação, Ciência e Tecnologia Sul-riograndense (IFSul)</c:v>
                  </c:pt>
                  <c:pt idx="46">
                    <c:v>SERVIÇO NACIONAL DA APRESENDIZAGEM COMERCIAL - SENAC - AR/RN</c:v>
                  </c:pt>
                  <c:pt idx="47">
                    <c:v>SERVIÇO NACIONAL DA APRESENDIZAGEM COMERCIAL - SENAC - AR/RN</c:v>
                  </c:pt>
                  <c:pt idx="48">
                    <c:v>SERVIÇO NACIONAL DA APRESENDIZAGEM COMERCIAL - SENAC - AR/RN</c:v>
                  </c:pt>
                  <c:pt idx="49">
                    <c:v>SERVICO DE APOIO AS MICRO E PEQUENAS EMPRESAS DE SE - SEBRAE</c:v>
                  </c:pt>
                  <c:pt idx="50">
                    <c:v>ACT Sesc/Senac </c:v>
                  </c:pt>
                  <c:pt idx="51">
                    <c:v>ACT Sesc/Senac</c:v>
                  </c:pt>
                  <c:pt idx="52">
                    <c:v>Senac-PR
</c:v>
                  </c:pt>
                  <c:pt idx="53">
                    <c:v>Senac/PR</c:v>
                  </c:pt>
                  <c:pt idx="54">
                    <c:v>Senac/SC</c:v>
                  </c:pt>
                  <c:pt idx="55">
                    <c:v>Senac-Pará</c:v>
                  </c:pt>
                  <c:pt idx="56">
                    <c:v>Associação Brasileira da Indústria de Hotéis do Rio Grande do Norte - ABIH/RN</c:v>
                  </c:pt>
                  <c:pt idx="57">
                    <c:v>Associação Construir de Assistência Social</c:v>
                  </c:pt>
                  <c:pt idx="58">
                    <c:v>Instituto Conexão</c:v>
                  </c:pt>
                  <c:pt idx="59">
                    <c:v>Instituto Conexão</c:v>
                  </c:pt>
                  <c:pt idx="60">
                    <c:v>INSTITUTO FUTURE DE JUVENTUDE, PROMOÇÃO, TURISMO, CULTURA E DESENVOLVIMENTO SUSTENTÁVEL</c:v>
                  </c:pt>
                  <c:pt idx="61">
                    <c:v>INSTITUTO RESGATE ONG ESCOLA VOLUNTARIA AGRICOLA</c:v>
                  </c:pt>
                  <c:pt idx="62">
                    <c:v>INSTITUTO SOCIAL DE CAPELANIA EDUCACIONAL E CULTURAL DO MARANHAO ISCEC MA</c:v>
                  </c:pt>
                  <c:pt idx="63">
                    <c:v>Instituto Somar Solução Brasil</c:v>
                  </c:pt>
                  <c:pt idx="64">
                    <c:v>FUNDACAO WALL FERRAZ</c:v>
                  </c:pt>
                  <c:pt idx="65">
                    <c:v>INSTITUTO NACIONAL DE PARCERIAS PUBLICAS - INPP</c:v>
                  </c:pt>
                  <c:pt idx="66">
                    <c:v>AT do Brasil</c:v>
                  </c:pt>
                  <c:pt idx="67">
                    <c:v>Incluir Treinamentos</c:v>
                  </c:pt>
                  <c:pt idx="68">
                    <c:v>Universidade Federal do Fluminense - UFF</c:v>
                  </c:pt>
                </c:lvl>
                <c:lvl>
                  <c:pt idx="0">
                    <c:v>PREFEITURAS</c:v>
                  </c:pt>
                  <c:pt idx="1">
                    <c:v>PREFEITURAS</c:v>
                  </c:pt>
                  <c:pt idx="2">
                    <c:v>PREFEITURAS</c:v>
                  </c:pt>
                  <c:pt idx="3">
                    <c:v>PREFEITURAS</c:v>
                  </c:pt>
                  <c:pt idx="4">
                    <c:v>PREFEITURAS</c:v>
                  </c:pt>
                  <c:pt idx="5">
                    <c:v>PREFEITURAS</c:v>
                  </c:pt>
                  <c:pt idx="6">
                    <c:v>PREFEITURAS</c:v>
                  </c:pt>
                  <c:pt idx="7">
                    <c:v>PREFEITURAS</c:v>
                  </c:pt>
                  <c:pt idx="8">
                    <c:v>PREFEITURAS</c:v>
                  </c:pt>
                  <c:pt idx="9">
                    <c:v>PREFEITURAS</c:v>
                  </c:pt>
                  <c:pt idx="10">
                    <c:v>PREFEITURAS</c:v>
                  </c:pt>
                  <c:pt idx="11">
                    <c:v>PREFEITURAS</c:v>
                  </c:pt>
                  <c:pt idx="12">
                    <c:v>PREFEITURAS</c:v>
                  </c:pt>
                  <c:pt idx="13">
                    <c:v>PREFEITURAS</c:v>
                  </c:pt>
                  <c:pt idx="14">
                    <c:v>PREFEITURAS</c:v>
                  </c:pt>
                  <c:pt idx="15">
                    <c:v>ESTADO</c:v>
                  </c:pt>
                  <c:pt idx="16">
                    <c:v>ESTADO</c:v>
                  </c:pt>
                  <c:pt idx="17">
                    <c:v>ESTADO</c:v>
                  </c:pt>
                  <c:pt idx="18">
                    <c:v>ESTADO</c:v>
                  </c:pt>
                  <c:pt idx="19">
                    <c:v>ESTADO</c:v>
                  </c:pt>
                  <c:pt idx="20">
                    <c:v>ESTADO</c:v>
                  </c:pt>
                  <c:pt idx="21">
                    <c:v>ESTADO</c:v>
                  </c:pt>
                  <c:pt idx="22">
                    <c:v>ESTADO</c:v>
                  </c:pt>
                  <c:pt idx="23">
                    <c:v>ESTADO</c:v>
                  </c:pt>
                  <c:pt idx="24">
                    <c:v>INSTITUTOS FEDERAIS</c:v>
                  </c:pt>
                  <c:pt idx="25">
                    <c:v>INSTITUTOS FEDERAIS</c:v>
                  </c:pt>
                  <c:pt idx="26">
                    <c:v>UNIVERSIDADES</c:v>
                  </c:pt>
                  <c:pt idx="27">
                    <c:v>INSTITUTOS FEDERAIS</c:v>
                  </c:pt>
                  <c:pt idx="28">
                    <c:v>INSTITUTOS FEDERAIS</c:v>
                  </c:pt>
                  <c:pt idx="29">
                    <c:v>UNIVERSIDADES</c:v>
                  </c:pt>
                  <c:pt idx="30">
                    <c:v>UNIVERSIDADES</c:v>
                  </c:pt>
                  <c:pt idx="31">
                    <c:v>INSTITUTOS FEDERAIS</c:v>
                  </c:pt>
                  <c:pt idx="32">
                    <c:v>UNIVERSIDADES</c:v>
                  </c:pt>
                  <c:pt idx="33">
                    <c:v>INSTITUTOS FEDERAIS</c:v>
                  </c:pt>
                  <c:pt idx="34">
                    <c:v>INSTITUTOS FEDERAIS</c:v>
                  </c:pt>
                  <c:pt idx="35">
                    <c:v>INSTITUTOS FEDERAIS</c:v>
                  </c:pt>
                  <c:pt idx="36">
                    <c:v>UNIVERSIDADES</c:v>
                  </c:pt>
                  <c:pt idx="37">
                    <c:v>UNIVERSIDADES</c:v>
                  </c:pt>
                  <c:pt idx="38">
                    <c:v>INSTITUTOS FEDERAIS</c:v>
                  </c:pt>
                  <c:pt idx="39">
                    <c:v>UNIVERSIDADES</c:v>
                  </c:pt>
                  <c:pt idx="40">
                    <c:v>UNIVERSIDADES</c:v>
                  </c:pt>
                  <c:pt idx="41">
                    <c:v>INSTITUTOS FEDERAIS</c:v>
                  </c:pt>
                  <c:pt idx="42">
                    <c:v>INSTITUTOS FEDERAIS</c:v>
                  </c:pt>
                  <c:pt idx="43">
                    <c:v>UNIVERSIDADES</c:v>
                  </c:pt>
                  <c:pt idx="44">
                    <c:v>INSTITUTOS FEDERAIS</c:v>
                  </c:pt>
                  <c:pt idx="45">
                    <c:v>INSTITUTOS FEDERAIS</c:v>
                  </c:pt>
                  <c:pt idx="46">
                    <c:v>SISTEMA S</c:v>
                  </c:pt>
                  <c:pt idx="47">
                    <c:v>SISTEMA S</c:v>
                  </c:pt>
                  <c:pt idx="48">
                    <c:v>SISTEMA S</c:v>
                  </c:pt>
                  <c:pt idx="49">
                    <c:v>SISTEMA S</c:v>
                  </c:pt>
                  <c:pt idx="50">
                    <c:v>SISTEMA S</c:v>
                  </c:pt>
                  <c:pt idx="51">
                    <c:v>SISTEMA S</c:v>
                  </c:pt>
                  <c:pt idx="52">
                    <c:v>SISTEMA S</c:v>
                  </c:pt>
                  <c:pt idx="53">
                    <c:v>SISTEMA S</c:v>
                  </c:pt>
                  <c:pt idx="54">
                    <c:v>SISTEMA S</c:v>
                  </c:pt>
                  <c:pt idx="55">
                    <c:v>SISTEMA S</c:v>
                  </c:pt>
                  <c:pt idx="56">
                    <c:v>ORGANIZAÇÕES PARCEIRAS, ONGs</c:v>
                  </c:pt>
                  <c:pt idx="57">
                    <c:v>ORGANIZAÇÕES PARCEIRAS, ONGs</c:v>
                  </c:pt>
                  <c:pt idx="58">
                    <c:v>ORGANIZAÇÕES PARCEIRAS, ONGs</c:v>
                  </c:pt>
                  <c:pt idx="59">
                    <c:v>ORGANIZAÇÕES PARCEIRAS, ONGs</c:v>
                  </c:pt>
                  <c:pt idx="60">
                    <c:v>ORGANIZAÇÕES PARCEIRAS, ONGs</c:v>
                  </c:pt>
                  <c:pt idx="61">
                    <c:v>ORGANIZAÇÕES PARCEIRAS, ONGs</c:v>
                  </c:pt>
                  <c:pt idx="62">
                    <c:v>ORGANIZAÇÕES PARCEIRAS, ONGs</c:v>
                  </c:pt>
                  <c:pt idx="63">
                    <c:v>ORGANIZAÇÕES PARCEIRAS, ONGs</c:v>
                  </c:pt>
                  <c:pt idx="64">
                    <c:v>ESTADO</c:v>
                  </c:pt>
                  <c:pt idx="65">
                    <c:v>ORGANIZAÇÕES PARCEIRAS, ONGs</c:v>
                  </c:pt>
                  <c:pt idx="66">
                    <c:v>ORGANIZAÇÕES PARCEIRAS, ONGs</c:v>
                  </c:pt>
                  <c:pt idx="67">
                    <c:v>ORGANIZAÇÕES PARCEIRAS, ONGs</c:v>
                  </c:pt>
                  <c:pt idx="68">
                    <c:v>UNIVERSIDADES</c:v>
                  </c:pt>
                </c:lvl>
              </c:multiLvlStrCache>
            </c:multiLvlStrRef>
          </c:cat>
          <c:val>
            <c:numRef>
              <c:f>Geral!$K$2:$K$70</c:f>
              <c:numCache>
                <c:formatCode>#,##0</c:formatCode>
                <c:ptCount val="69"/>
                <c:pt idx="0">
                  <c:v>13</c:v>
                </c:pt>
                <c:pt idx="1">
                  <c:v>23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9</c:v>
                </c:pt>
                <c:pt idx="6">
                  <c:v>21</c:v>
                </c:pt>
                <c:pt idx="7">
                  <c:v>5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20</c:v>
                </c:pt>
                <c:pt idx="12">
                  <c:v>4</c:v>
                </c:pt>
                <c:pt idx="13">
                  <c:v>4</c:v>
                </c:pt>
                <c:pt idx="14">
                  <c:v>11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23</c:v>
                </c:pt>
                <c:pt idx="22">
                  <c:v>7</c:v>
                </c:pt>
                <c:pt idx="23">
                  <c:v>4</c:v>
                </c:pt>
                <c:pt idx="24">
                  <c:v>25</c:v>
                </c:pt>
                <c:pt idx="25">
                  <c:v>4</c:v>
                </c:pt>
                <c:pt idx="26">
                  <c:v>2</c:v>
                </c:pt>
                <c:pt idx="27">
                  <c:v>1</c:v>
                </c:pt>
                <c:pt idx="28">
                  <c:v>6</c:v>
                </c:pt>
                <c:pt idx="29">
                  <c:v>140</c:v>
                </c:pt>
                <c:pt idx="30">
                  <c:v>2</c:v>
                </c:pt>
                <c:pt idx="31">
                  <c:v>2</c:v>
                </c:pt>
                <c:pt idx="32">
                  <c:v>12</c:v>
                </c:pt>
                <c:pt idx="33">
                  <c:v>2</c:v>
                </c:pt>
                <c:pt idx="34">
                  <c:v>6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39</c:v>
                </c:pt>
                <c:pt idx="39">
                  <c:v>5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6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12</c:v>
                </c:pt>
                <c:pt idx="50">
                  <c:v>49</c:v>
                </c:pt>
                <c:pt idx="51">
                  <c:v>47</c:v>
                </c:pt>
                <c:pt idx="52">
                  <c:v>5</c:v>
                </c:pt>
                <c:pt idx="53">
                  <c:v>5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11</c:v>
                </c:pt>
                <c:pt idx="62">
                  <c:v>6</c:v>
                </c:pt>
                <c:pt idx="63">
                  <c:v>6</c:v>
                </c:pt>
                <c:pt idx="64">
                  <c:v>47</c:v>
                </c:pt>
                <c:pt idx="65">
                  <c:v>20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A1-47DC-B32F-6DFED6FB4896}"/>
            </c:ext>
          </c:extLst>
        </c:ser>
        <c:ser>
          <c:idx val="8"/>
          <c:order val="8"/>
          <c:tx>
            <c:strRef>
              <c:f>Geral!$L$1</c:f>
              <c:strCache>
                <c:ptCount val="1"/>
                <c:pt idx="0">
                  <c:v> Vagas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Geral!$A$2:$B$70</c:f>
              <c:multiLvlStrCache>
                <c:ptCount val="69"/>
                <c:lvl>
                  <c:pt idx="0">
                    <c:v>PREFEITURA MUNICIPAL DE CANINDÉ DE SÃO FRANCISCO</c:v>
                  </c:pt>
                  <c:pt idx="1">
                    <c:v>Prefeitura Municipal de Trajano de Moraes</c:v>
                  </c:pt>
                  <c:pt idx="2">
                    <c:v>Prefeitura Municipal de Nilópolis</c:v>
                  </c:pt>
                  <c:pt idx="3">
                    <c:v>Municipio de Porangatu</c:v>
                  </c:pt>
                  <c:pt idx="4">
                    <c:v>MUNICÍPIO DE CAPELA</c:v>
                  </c:pt>
                  <c:pt idx="5">
                    <c:v>Prefeitura Municipal de Tibau do Sul</c:v>
                  </c:pt>
                  <c:pt idx="6">
                    <c:v>Município de Iaçu</c:v>
                  </c:pt>
                  <c:pt idx="7">
                    <c:v>PREFEITURA MUNICIPAL DE WENCESLAU GUIMARÃES/BA</c:v>
                  </c:pt>
                  <c:pt idx="8">
                    <c:v>PREFEITURA MUNICIPAL DE SOBRAL</c:v>
                  </c:pt>
                  <c:pt idx="9">
                    <c:v>PREFEITURA MUNICIPAL DE SOBRAL</c:v>
                  </c:pt>
                  <c:pt idx="10">
                    <c:v>Prefeitura Municipal De Careiro</c:v>
                  </c:pt>
                  <c:pt idx="11">
                    <c:v>PREFEITURA MUNICIPAL DE CONDE/PB</c:v>
                  </c:pt>
                  <c:pt idx="12">
                    <c:v>Prefeitura Municipal de Italva</c:v>
                  </c:pt>
                  <c:pt idx="13">
                    <c:v>MUNICIPIO DE NATAL</c:v>
                  </c:pt>
                  <c:pt idx="14">
                    <c:v>MUNICIPIO DE NATAL</c:v>
                  </c:pt>
                  <c:pt idx="15">
                    <c:v>Secretaria Estadual de Turismo do Rio Grande do Norte SETUR-RN</c:v>
                  </c:pt>
                  <c:pt idx="16">
                    <c:v>EMPRESA ESTADUAL DE TURISMO - AMAZONASTUR</c:v>
                  </c:pt>
                  <c:pt idx="17">
                    <c:v>EMPRESA ESTADUAL DE TURISMO - AMAZONASTUR</c:v>
                  </c:pt>
                  <c:pt idx="18">
                    <c:v>SECRETARIA DE ESTADO ECONOMICO DO PIAUÍ – SDE - Teresina/PI</c:v>
                  </c:pt>
                  <c:pt idx="19">
                    <c:v>SECRETARIA DE ESTADO ECONOMICO DO PIAUÍ – SDE - Parnaíba/PI</c:v>
                  </c:pt>
                  <c:pt idx="20">
                    <c:v>SECRETARIA DE ESTADO ECONOMICO DO PIAUÍ – SDE - Luzilândia/PI</c:v>
                  </c:pt>
                  <c:pt idx="21">
                    <c:v>SECRETARIA DE ESTADO DE ASSISTENCIA SOCIAL, TRABALHO, EMPREGO E RENDA -SEASTER</c:v>
                  </c:pt>
                  <c:pt idx="22">
                    <c:v>Secretaria de Estado de Turismo – SETUR - PA</c:v>
                  </c:pt>
                  <c:pt idx="23">
                    <c:v>ESTADO DO ACRE</c:v>
                  </c:pt>
                  <c:pt idx="24">
                    <c:v>Instituto Federal de Educação, Ciência e Tecnologia do Maranhão - IFMA</c:v>
                  </c:pt>
                  <c:pt idx="25">
                    <c:v>Instituto Federal de Educação, Ciência e Tecnologia Do Piauí – IFPI</c:v>
                  </c:pt>
                  <c:pt idx="26">
                    <c:v>plataforma qualifica turismo (UFMA)</c:v>
                  </c:pt>
                  <c:pt idx="27">
                    <c:v>Instituto Federal de Educação, Ciência e Tecnologia da Paraíba - IFPB</c:v>
                  </c:pt>
                  <c:pt idx="28">
                    <c:v>Instituto Federal de Educação, Ciência e Tecnologia Sul-riograndense (IFSul)</c:v>
                  </c:pt>
                  <c:pt idx="29">
                    <c:v>Escola Nacional de Turismo (IFPA)</c:v>
                  </c:pt>
                  <c:pt idx="30">
                    <c:v>Universidade Federal do Fluminense - UFF</c:v>
                  </c:pt>
                  <c:pt idx="31">
                    <c:v>Instituto Federal de Educação, Ciência e Tecnologia do Tocantins -IFTO</c:v>
                  </c:pt>
                  <c:pt idx="32">
                    <c:v>plataforma qualifica turismo (UFMA)</c:v>
                  </c:pt>
                  <c:pt idx="33">
                    <c:v>Instituto Federal de Educação, Ciência e Tecnologia da Paraíba - IFPB</c:v>
                  </c:pt>
                  <c:pt idx="34">
                    <c:v>Instituto Federal de Educação, Ciência e Tecnologia Sul-riograndense (IFSul)</c:v>
                  </c:pt>
                  <c:pt idx="35">
                    <c:v>Instituto Federal de Educação, Ciência e Tecnologia do Tocantins -IFTO</c:v>
                  </c:pt>
                  <c:pt idx="36">
                    <c:v>Universidade Federal do Tocantins - UFT</c:v>
                  </c:pt>
                  <c:pt idx="37">
                    <c:v>Universidade Federal do Fluminense - UFF</c:v>
                  </c:pt>
                  <c:pt idx="38">
                    <c:v>Escola Nacional de Turismo (IFPA)</c:v>
                  </c:pt>
                  <c:pt idx="39">
                    <c:v>plataforma qualifica turismo (UFMA)</c:v>
                  </c:pt>
                  <c:pt idx="40">
                    <c:v>Universidade Federal do Tocantins - UFT</c:v>
                  </c:pt>
                  <c:pt idx="41">
                    <c:v>Instituto Federal de Educação, Ciência e Tecnologia da Paraíba - IFPB</c:v>
                  </c:pt>
                  <c:pt idx="42">
                    <c:v>Instituto Federal de Educação, Ciência e Tecnologia do Tocantins -IFTO</c:v>
                  </c:pt>
                  <c:pt idx="43">
                    <c:v>Universidade Federal do Fluminense - UFF</c:v>
                  </c:pt>
                  <c:pt idx="44">
                    <c:v>Instituto Federal de Educação, Ciência e Tecnologia do Ceará - IFCE</c:v>
                  </c:pt>
                  <c:pt idx="45">
                    <c:v>Instituto Federal de Educação, Ciência e Tecnologia Sul-riograndense (IFSul)</c:v>
                  </c:pt>
                  <c:pt idx="46">
                    <c:v>SERVIÇO NACIONAL DA APRESENDIZAGEM COMERCIAL - SENAC - AR/RN</c:v>
                  </c:pt>
                  <c:pt idx="47">
                    <c:v>SERVIÇO NACIONAL DA APRESENDIZAGEM COMERCIAL - SENAC - AR/RN</c:v>
                  </c:pt>
                  <c:pt idx="48">
                    <c:v>SERVIÇO NACIONAL DA APRESENDIZAGEM COMERCIAL - SENAC - AR/RN</c:v>
                  </c:pt>
                  <c:pt idx="49">
                    <c:v>SERVICO DE APOIO AS MICRO E PEQUENAS EMPRESAS DE SE - SEBRAE</c:v>
                  </c:pt>
                  <c:pt idx="50">
                    <c:v>ACT Sesc/Senac </c:v>
                  </c:pt>
                  <c:pt idx="51">
                    <c:v>ACT Sesc/Senac</c:v>
                  </c:pt>
                  <c:pt idx="52">
                    <c:v>Senac-PR
</c:v>
                  </c:pt>
                  <c:pt idx="53">
                    <c:v>Senac/PR</c:v>
                  </c:pt>
                  <c:pt idx="54">
                    <c:v>Senac/SC</c:v>
                  </c:pt>
                  <c:pt idx="55">
                    <c:v>Senac-Pará</c:v>
                  </c:pt>
                  <c:pt idx="56">
                    <c:v>Associação Brasileira da Indústria de Hotéis do Rio Grande do Norte - ABIH/RN</c:v>
                  </c:pt>
                  <c:pt idx="57">
                    <c:v>Associação Construir de Assistência Social</c:v>
                  </c:pt>
                  <c:pt idx="58">
                    <c:v>Instituto Conexão</c:v>
                  </c:pt>
                  <c:pt idx="59">
                    <c:v>Instituto Conexão</c:v>
                  </c:pt>
                  <c:pt idx="60">
                    <c:v>INSTITUTO FUTURE DE JUVENTUDE, PROMOÇÃO, TURISMO, CULTURA E DESENVOLVIMENTO SUSTENTÁVEL</c:v>
                  </c:pt>
                  <c:pt idx="61">
                    <c:v>INSTITUTO RESGATE ONG ESCOLA VOLUNTARIA AGRICOLA</c:v>
                  </c:pt>
                  <c:pt idx="62">
                    <c:v>INSTITUTO SOCIAL DE CAPELANIA EDUCACIONAL E CULTURAL DO MARANHAO ISCEC MA</c:v>
                  </c:pt>
                  <c:pt idx="63">
                    <c:v>Instituto Somar Solução Brasil</c:v>
                  </c:pt>
                  <c:pt idx="64">
                    <c:v>FUNDACAO WALL FERRAZ</c:v>
                  </c:pt>
                  <c:pt idx="65">
                    <c:v>INSTITUTO NACIONAL DE PARCERIAS PUBLICAS - INPP</c:v>
                  </c:pt>
                  <c:pt idx="66">
                    <c:v>AT do Brasil</c:v>
                  </c:pt>
                  <c:pt idx="67">
                    <c:v>Incluir Treinamentos</c:v>
                  </c:pt>
                  <c:pt idx="68">
                    <c:v>Universidade Federal do Fluminense - UFF</c:v>
                  </c:pt>
                </c:lvl>
                <c:lvl>
                  <c:pt idx="0">
                    <c:v>PREFEITURAS</c:v>
                  </c:pt>
                  <c:pt idx="1">
                    <c:v>PREFEITURAS</c:v>
                  </c:pt>
                  <c:pt idx="2">
                    <c:v>PREFEITURAS</c:v>
                  </c:pt>
                  <c:pt idx="3">
                    <c:v>PREFEITURAS</c:v>
                  </c:pt>
                  <c:pt idx="4">
                    <c:v>PREFEITURAS</c:v>
                  </c:pt>
                  <c:pt idx="5">
                    <c:v>PREFEITURAS</c:v>
                  </c:pt>
                  <c:pt idx="6">
                    <c:v>PREFEITURAS</c:v>
                  </c:pt>
                  <c:pt idx="7">
                    <c:v>PREFEITURAS</c:v>
                  </c:pt>
                  <c:pt idx="8">
                    <c:v>PREFEITURAS</c:v>
                  </c:pt>
                  <c:pt idx="9">
                    <c:v>PREFEITURAS</c:v>
                  </c:pt>
                  <c:pt idx="10">
                    <c:v>PREFEITURAS</c:v>
                  </c:pt>
                  <c:pt idx="11">
                    <c:v>PREFEITURAS</c:v>
                  </c:pt>
                  <c:pt idx="12">
                    <c:v>PREFEITURAS</c:v>
                  </c:pt>
                  <c:pt idx="13">
                    <c:v>PREFEITURAS</c:v>
                  </c:pt>
                  <c:pt idx="14">
                    <c:v>PREFEITURAS</c:v>
                  </c:pt>
                  <c:pt idx="15">
                    <c:v>ESTADO</c:v>
                  </c:pt>
                  <c:pt idx="16">
                    <c:v>ESTADO</c:v>
                  </c:pt>
                  <c:pt idx="17">
                    <c:v>ESTADO</c:v>
                  </c:pt>
                  <c:pt idx="18">
                    <c:v>ESTADO</c:v>
                  </c:pt>
                  <c:pt idx="19">
                    <c:v>ESTADO</c:v>
                  </c:pt>
                  <c:pt idx="20">
                    <c:v>ESTADO</c:v>
                  </c:pt>
                  <c:pt idx="21">
                    <c:v>ESTADO</c:v>
                  </c:pt>
                  <c:pt idx="22">
                    <c:v>ESTADO</c:v>
                  </c:pt>
                  <c:pt idx="23">
                    <c:v>ESTADO</c:v>
                  </c:pt>
                  <c:pt idx="24">
                    <c:v>INSTITUTOS FEDERAIS</c:v>
                  </c:pt>
                  <c:pt idx="25">
                    <c:v>INSTITUTOS FEDERAIS</c:v>
                  </c:pt>
                  <c:pt idx="26">
                    <c:v>UNIVERSIDADES</c:v>
                  </c:pt>
                  <c:pt idx="27">
                    <c:v>INSTITUTOS FEDERAIS</c:v>
                  </c:pt>
                  <c:pt idx="28">
                    <c:v>INSTITUTOS FEDERAIS</c:v>
                  </c:pt>
                  <c:pt idx="29">
                    <c:v>UNIVERSIDADES</c:v>
                  </c:pt>
                  <c:pt idx="30">
                    <c:v>UNIVERSIDADES</c:v>
                  </c:pt>
                  <c:pt idx="31">
                    <c:v>INSTITUTOS FEDERAIS</c:v>
                  </c:pt>
                  <c:pt idx="32">
                    <c:v>UNIVERSIDADES</c:v>
                  </c:pt>
                  <c:pt idx="33">
                    <c:v>INSTITUTOS FEDERAIS</c:v>
                  </c:pt>
                  <c:pt idx="34">
                    <c:v>INSTITUTOS FEDERAIS</c:v>
                  </c:pt>
                  <c:pt idx="35">
                    <c:v>INSTITUTOS FEDERAIS</c:v>
                  </c:pt>
                  <c:pt idx="36">
                    <c:v>UNIVERSIDADES</c:v>
                  </c:pt>
                  <c:pt idx="37">
                    <c:v>UNIVERSIDADES</c:v>
                  </c:pt>
                  <c:pt idx="38">
                    <c:v>INSTITUTOS FEDERAIS</c:v>
                  </c:pt>
                  <c:pt idx="39">
                    <c:v>UNIVERSIDADES</c:v>
                  </c:pt>
                  <c:pt idx="40">
                    <c:v>UNIVERSIDADES</c:v>
                  </c:pt>
                  <c:pt idx="41">
                    <c:v>INSTITUTOS FEDERAIS</c:v>
                  </c:pt>
                  <c:pt idx="42">
                    <c:v>INSTITUTOS FEDERAIS</c:v>
                  </c:pt>
                  <c:pt idx="43">
                    <c:v>UNIVERSIDADES</c:v>
                  </c:pt>
                  <c:pt idx="44">
                    <c:v>INSTITUTOS FEDERAIS</c:v>
                  </c:pt>
                  <c:pt idx="45">
                    <c:v>INSTITUTOS FEDERAIS</c:v>
                  </c:pt>
                  <c:pt idx="46">
                    <c:v>SISTEMA S</c:v>
                  </c:pt>
                  <c:pt idx="47">
                    <c:v>SISTEMA S</c:v>
                  </c:pt>
                  <c:pt idx="48">
                    <c:v>SISTEMA S</c:v>
                  </c:pt>
                  <c:pt idx="49">
                    <c:v>SISTEMA S</c:v>
                  </c:pt>
                  <c:pt idx="50">
                    <c:v>SISTEMA S</c:v>
                  </c:pt>
                  <c:pt idx="51">
                    <c:v>SISTEMA S</c:v>
                  </c:pt>
                  <c:pt idx="52">
                    <c:v>SISTEMA S</c:v>
                  </c:pt>
                  <c:pt idx="53">
                    <c:v>SISTEMA S</c:v>
                  </c:pt>
                  <c:pt idx="54">
                    <c:v>SISTEMA S</c:v>
                  </c:pt>
                  <c:pt idx="55">
                    <c:v>SISTEMA S</c:v>
                  </c:pt>
                  <c:pt idx="56">
                    <c:v>ORGANIZAÇÕES PARCEIRAS, ONGs</c:v>
                  </c:pt>
                  <c:pt idx="57">
                    <c:v>ORGANIZAÇÕES PARCEIRAS, ONGs</c:v>
                  </c:pt>
                  <c:pt idx="58">
                    <c:v>ORGANIZAÇÕES PARCEIRAS, ONGs</c:v>
                  </c:pt>
                  <c:pt idx="59">
                    <c:v>ORGANIZAÇÕES PARCEIRAS, ONGs</c:v>
                  </c:pt>
                  <c:pt idx="60">
                    <c:v>ORGANIZAÇÕES PARCEIRAS, ONGs</c:v>
                  </c:pt>
                  <c:pt idx="61">
                    <c:v>ORGANIZAÇÕES PARCEIRAS, ONGs</c:v>
                  </c:pt>
                  <c:pt idx="62">
                    <c:v>ORGANIZAÇÕES PARCEIRAS, ONGs</c:v>
                  </c:pt>
                  <c:pt idx="63">
                    <c:v>ORGANIZAÇÕES PARCEIRAS, ONGs</c:v>
                  </c:pt>
                  <c:pt idx="64">
                    <c:v>ESTADO</c:v>
                  </c:pt>
                  <c:pt idx="65">
                    <c:v>ORGANIZAÇÕES PARCEIRAS, ONGs</c:v>
                  </c:pt>
                  <c:pt idx="66">
                    <c:v>ORGANIZAÇÕES PARCEIRAS, ONGs</c:v>
                  </c:pt>
                  <c:pt idx="67">
                    <c:v>ORGANIZAÇÕES PARCEIRAS, ONGs</c:v>
                  </c:pt>
                  <c:pt idx="68">
                    <c:v>UNIVERSIDADES</c:v>
                  </c:pt>
                </c:lvl>
              </c:multiLvlStrCache>
            </c:multiLvlStrRef>
          </c:cat>
          <c:val>
            <c:numRef>
              <c:f>Geral!$L$2:$L$70</c:f>
              <c:numCache>
                <c:formatCode>#,##0</c:formatCode>
                <c:ptCount val="69"/>
                <c:pt idx="0">
                  <c:v>275</c:v>
                </c:pt>
                <c:pt idx="1">
                  <c:v>592</c:v>
                </c:pt>
                <c:pt idx="2">
                  <c:v>150</c:v>
                </c:pt>
                <c:pt idx="3">
                  <c:v>250</c:v>
                </c:pt>
                <c:pt idx="4">
                  <c:v>200</c:v>
                </c:pt>
                <c:pt idx="5">
                  <c:v>1280</c:v>
                </c:pt>
                <c:pt idx="6">
                  <c:v>420</c:v>
                </c:pt>
                <c:pt idx="7">
                  <c:v>200</c:v>
                </c:pt>
                <c:pt idx="8">
                  <c:v>150</c:v>
                </c:pt>
                <c:pt idx="9">
                  <c:v>150</c:v>
                </c:pt>
                <c:pt idx="10">
                  <c:v>400</c:v>
                </c:pt>
                <c:pt idx="11">
                  <c:v>600</c:v>
                </c:pt>
                <c:pt idx="12">
                  <c:v>3600</c:v>
                </c:pt>
                <c:pt idx="13">
                  <c:v>125</c:v>
                </c:pt>
                <c:pt idx="14">
                  <c:v>2375</c:v>
                </c:pt>
                <c:pt idx="15">
                  <c:v>820</c:v>
                </c:pt>
                <c:pt idx="16">
                  <c:v>60</c:v>
                </c:pt>
                <c:pt idx="17">
                  <c:v>340</c:v>
                </c:pt>
                <c:pt idx="18">
                  <c:v>800</c:v>
                </c:pt>
                <c:pt idx="19">
                  <c:v>220</c:v>
                </c:pt>
                <c:pt idx="20">
                  <c:v>1620</c:v>
                </c:pt>
                <c:pt idx="21">
                  <c:v>500</c:v>
                </c:pt>
                <c:pt idx="22">
                  <c:v>5500</c:v>
                </c:pt>
                <c:pt idx="23">
                  <c:v>325</c:v>
                </c:pt>
                <c:pt idx="24">
                  <c:v>15640</c:v>
                </c:pt>
                <c:pt idx="25">
                  <c:v>3200</c:v>
                </c:pt>
                <c:pt idx="26">
                  <c:v>1004</c:v>
                </c:pt>
                <c:pt idx="27">
                  <c:v>377</c:v>
                </c:pt>
                <c:pt idx="28">
                  <c:v>6000</c:v>
                </c:pt>
                <c:pt idx="29">
                  <c:v>4040</c:v>
                </c:pt>
                <c:pt idx="30">
                  <c:v>45</c:v>
                </c:pt>
                <c:pt idx="31">
                  <c:v>193</c:v>
                </c:pt>
                <c:pt idx="32">
                  <c:v>1917</c:v>
                </c:pt>
                <c:pt idx="33">
                  <c:v>919</c:v>
                </c:pt>
                <c:pt idx="34">
                  <c:v>8000</c:v>
                </c:pt>
                <c:pt idx="35">
                  <c:v>528</c:v>
                </c:pt>
                <c:pt idx="36">
                  <c:v>400</c:v>
                </c:pt>
                <c:pt idx="37">
                  <c:v>450</c:v>
                </c:pt>
                <c:pt idx="38">
                  <c:v>1560</c:v>
                </c:pt>
                <c:pt idx="39">
                  <c:v>1570</c:v>
                </c:pt>
                <c:pt idx="40">
                  <c:v>400</c:v>
                </c:pt>
                <c:pt idx="41">
                  <c:v>728</c:v>
                </c:pt>
                <c:pt idx="42">
                  <c:v>1102</c:v>
                </c:pt>
                <c:pt idx="43">
                  <c:v>380</c:v>
                </c:pt>
                <c:pt idx="44">
                  <c:v>80</c:v>
                </c:pt>
                <c:pt idx="45">
                  <c:v>402</c:v>
                </c:pt>
                <c:pt idx="46">
                  <c:v>560</c:v>
                </c:pt>
                <c:pt idx="47">
                  <c:v>1780</c:v>
                </c:pt>
                <c:pt idx="48">
                  <c:v>1640</c:v>
                </c:pt>
                <c:pt idx="49">
                  <c:v>1080</c:v>
                </c:pt>
                <c:pt idx="50">
                  <c:v>3731</c:v>
                </c:pt>
                <c:pt idx="51">
                  <c:v>804</c:v>
                </c:pt>
                <c:pt idx="52">
                  <c:v>1570</c:v>
                </c:pt>
                <c:pt idx="53">
                  <c:v>4672</c:v>
                </c:pt>
                <c:pt idx="54">
                  <c:v>2261</c:v>
                </c:pt>
                <c:pt idx="55">
                  <c:v>100</c:v>
                </c:pt>
                <c:pt idx="56">
                  <c:v>400</c:v>
                </c:pt>
                <c:pt idx="57">
                  <c:v>600</c:v>
                </c:pt>
                <c:pt idx="58">
                  <c:v>4000</c:v>
                </c:pt>
                <c:pt idx="59">
                  <c:v>800</c:v>
                </c:pt>
                <c:pt idx="60">
                  <c:v>300</c:v>
                </c:pt>
                <c:pt idx="61">
                  <c:v>440</c:v>
                </c:pt>
                <c:pt idx="62">
                  <c:v>180</c:v>
                </c:pt>
                <c:pt idx="63">
                  <c:v>840</c:v>
                </c:pt>
                <c:pt idx="64">
                  <c:v>7380</c:v>
                </c:pt>
                <c:pt idx="65">
                  <c:v>3000</c:v>
                </c:pt>
                <c:pt idx="66">
                  <c:v>100</c:v>
                </c:pt>
                <c:pt idx="67">
                  <c:v>94</c:v>
                </c:pt>
                <c:pt idx="68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A1-47DC-B32F-6DFED6FB4896}"/>
            </c:ext>
          </c:extLst>
        </c:ser>
        <c:ser>
          <c:idx val="9"/>
          <c:order val="9"/>
          <c:tx>
            <c:strRef>
              <c:f>Geral!$M$1</c:f>
              <c:strCache>
                <c:ptCount val="1"/>
                <c:pt idx="0">
                  <c:v>Matriculados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Geral!$A$2:$B$70</c:f>
              <c:multiLvlStrCache>
                <c:ptCount val="69"/>
                <c:lvl>
                  <c:pt idx="0">
                    <c:v>PREFEITURA MUNICIPAL DE CANINDÉ DE SÃO FRANCISCO</c:v>
                  </c:pt>
                  <c:pt idx="1">
                    <c:v>Prefeitura Municipal de Trajano de Moraes</c:v>
                  </c:pt>
                  <c:pt idx="2">
                    <c:v>Prefeitura Municipal de Nilópolis</c:v>
                  </c:pt>
                  <c:pt idx="3">
                    <c:v>Municipio de Porangatu</c:v>
                  </c:pt>
                  <c:pt idx="4">
                    <c:v>MUNICÍPIO DE CAPELA</c:v>
                  </c:pt>
                  <c:pt idx="5">
                    <c:v>Prefeitura Municipal de Tibau do Sul</c:v>
                  </c:pt>
                  <c:pt idx="6">
                    <c:v>Município de Iaçu</c:v>
                  </c:pt>
                  <c:pt idx="7">
                    <c:v>PREFEITURA MUNICIPAL DE WENCESLAU GUIMARÃES/BA</c:v>
                  </c:pt>
                  <c:pt idx="8">
                    <c:v>PREFEITURA MUNICIPAL DE SOBRAL</c:v>
                  </c:pt>
                  <c:pt idx="9">
                    <c:v>PREFEITURA MUNICIPAL DE SOBRAL</c:v>
                  </c:pt>
                  <c:pt idx="10">
                    <c:v>Prefeitura Municipal De Careiro</c:v>
                  </c:pt>
                  <c:pt idx="11">
                    <c:v>PREFEITURA MUNICIPAL DE CONDE/PB</c:v>
                  </c:pt>
                  <c:pt idx="12">
                    <c:v>Prefeitura Municipal de Italva</c:v>
                  </c:pt>
                  <c:pt idx="13">
                    <c:v>MUNICIPIO DE NATAL</c:v>
                  </c:pt>
                  <c:pt idx="14">
                    <c:v>MUNICIPIO DE NATAL</c:v>
                  </c:pt>
                  <c:pt idx="15">
                    <c:v>Secretaria Estadual de Turismo do Rio Grande do Norte SETUR-RN</c:v>
                  </c:pt>
                  <c:pt idx="16">
                    <c:v>EMPRESA ESTADUAL DE TURISMO - AMAZONASTUR</c:v>
                  </c:pt>
                  <c:pt idx="17">
                    <c:v>EMPRESA ESTADUAL DE TURISMO - AMAZONASTUR</c:v>
                  </c:pt>
                  <c:pt idx="18">
                    <c:v>SECRETARIA DE ESTADO ECONOMICO DO PIAUÍ – SDE - Teresina/PI</c:v>
                  </c:pt>
                  <c:pt idx="19">
                    <c:v>SECRETARIA DE ESTADO ECONOMICO DO PIAUÍ – SDE - Parnaíba/PI</c:v>
                  </c:pt>
                  <c:pt idx="20">
                    <c:v>SECRETARIA DE ESTADO ECONOMICO DO PIAUÍ – SDE - Luzilândia/PI</c:v>
                  </c:pt>
                  <c:pt idx="21">
                    <c:v>SECRETARIA DE ESTADO DE ASSISTENCIA SOCIAL, TRABALHO, EMPREGO E RENDA -SEASTER</c:v>
                  </c:pt>
                  <c:pt idx="22">
                    <c:v>Secretaria de Estado de Turismo – SETUR - PA</c:v>
                  </c:pt>
                  <c:pt idx="23">
                    <c:v>ESTADO DO ACRE</c:v>
                  </c:pt>
                  <c:pt idx="24">
                    <c:v>Instituto Federal de Educação, Ciência e Tecnologia do Maranhão - IFMA</c:v>
                  </c:pt>
                  <c:pt idx="25">
                    <c:v>Instituto Federal de Educação, Ciência e Tecnologia Do Piauí – IFPI</c:v>
                  </c:pt>
                  <c:pt idx="26">
                    <c:v>plataforma qualifica turismo (UFMA)</c:v>
                  </c:pt>
                  <c:pt idx="27">
                    <c:v>Instituto Federal de Educação, Ciência e Tecnologia da Paraíba - IFPB</c:v>
                  </c:pt>
                  <c:pt idx="28">
                    <c:v>Instituto Federal de Educação, Ciência e Tecnologia Sul-riograndense (IFSul)</c:v>
                  </c:pt>
                  <c:pt idx="29">
                    <c:v>Escola Nacional de Turismo (IFPA)</c:v>
                  </c:pt>
                  <c:pt idx="30">
                    <c:v>Universidade Federal do Fluminense - UFF</c:v>
                  </c:pt>
                  <c:pt idx="31">
                    <c:v>Instituto Federal de Educação, Ciência e Tecnologia do Tocantins -IFTO</c:v>
                  </c:pt>
                  <c:pt idx="32">
                    <c:v>plataforma qualifica turismo (UFMA)</c:v>
                  </c:pt>
                  <c:pt idx="33">
                    <c:v>Instituto Federal de Educação, Ciência e Tecnologia da Paraíba - IFPB</c:v>
                  </c:pt>
                  <c:pt idx="34">
                    <c:v>Instituto Federal de Educação, Ciência e Tecnologia Sul-riograndense (IFSul)</c:v>
                  </c:pt>
                  <c:pt idx="35">
                    <c:v>Instituto Federal de Educação, Ciência e Tecnologia do Tocantins -IFTO</c:v>
                  </c:pt>
                  <c:pt idx="36">
                    <c:v>Universidade Federal do Tocantins - UFT</c:v>
                  </c:pt>
                  <c:pt idx="37">
                    <c:v>Universidade Federal do Fluminense - UFF</c:v>
                  </c:pt>
                  <c:pt idx="38">
                    <c:v>Escola Nacional de Turismo (IFPA)</c:v>
                  </c:pt>
                  <c:pt idx="39">
                    <c:v>plataforma qualifica turismo (UFMA)</c:v>
                  </c:pt>
                  <c:pt idx="40">
                    <c:v>Universidade Federal do Tocantins - UFT</c:v>
                  </c:pt>
                  <c:pt idx="41">
                    <c:v>Instituto Federal de Educação, Ciência e Tecnologia da Paraíba - IFPB</c:v>
                  </c:pt>
                  <c:pt idx="42">
                    <c:v>Instituto Federal de Educação, Ciência e Tecnologia do Tocantins -IFTO</c:v>
                  </c:pt>
                  <c:pt idx="43">
                    <c:v>Universidade Federal do Fluminense - UFF</c:v>
                  </c:pt>
                  <c:pt idx="44">
                    <c:v>Instituto Federal de Educação, Ciência e Tecnologia do Ceará - IFCE</c:v>
                  </c:pt>
                  <c:pt idx="45">
                    <c:v>Instituto Federal de Educação, Ciência e Tecnologia Sul-riograndense (IFSul)</c:v>
                  </c:pt>
                  <c:pt idx="46">
                    <c:v>SERVIÇO NACIONAL DA APRESENDIZAGEM COMERCIAL - SENAC - AR/RN</c:v>
                  </c:pt>
                  <c:pt idx="47">
                    <c:v>SERVIÇO NACIONAL DA APRESENDIZAGEM COMERCIAL - SENAC - AR/RN</c:v>
                  </c:pt>
                  <c:pt idx="48">
                    <c:v>SERVIÇO NACIONAL DA APRESENDIZAGEM COMERCIAL - SENAC - AR/RN</c:v>
                  </c:pt>
                  <c:pt idx="49">
                    <c:v>SERVICO DE APOIO AS MICRO E PEQUENAS EMPRESAS DE SE - SEBRAE</c:v>
                  </c:pt>
                  <c:pt idx="50">
                    <c:v>ACT Sesc/Senac </c:v>
                  </c:pt>
                  <c:pt idx="51">
                    <c:v>ACT Sesc/Senac</c:v>
                  </c:pt>
                  <c:pt idx="52">
                    <c:v>Senac-PR
</c:v>
                  </c:pt>
                  <c:pt idx="53">
                    <c:v>Senac/PR</c:v>
                  </c:pt>
                  <c:pt idx="54">
                    <c:v>Senac/SC</c:v>
                  </c:pt>
                  <c:pt idx="55">
                    <c:v>Senac-Pará</c:v>
                  </c:pt>
                  <c:pt idx="56">
                    <c:v>Associação Brasileira da Indústria de Hotéis do Rio Grande do Norte - ABIH/RN</c:v>
                  </c:pt>
                  <c:pt idx="57">
                    <c:v>Associação Construir de Assistência Social</c:v>
                  </c:pt>
                  <c:pt idx="58">
                    <c:v>Instituto Conexão</c:v>
                  </c:pt>
                  <c:pt idx="59">
                    <c:v>Instituto Conexão</c:v>
                  </c:pt>
                  <c:pt idx="60">
                    <c:v>INSTITUTO FUTURE DE JUVENTUDE, PROMOÇÃO, TURISMO, CULTURA E DESENVOLVIMENTO SUSTENTÁVEL</c:v>
                  </c:pt>
                  <c:pt idx="61">
                    <c:v>INSTITUTO RESGATE ONG ESCOLA VOLUNTARIA AGRICOLA</c:v>
                  </c:pt>
                  <c:pt idx="62">
                    <c:v>INSTITUTO SOCIAL DE CAPELANIA EDUCACIONAL E CULTURAL DO MARANHAO ISCEC MA</c:v>
                  </c:pt>
                  <c:pt idx="63">
                    <c:v>Instituto Somar Solução Brasil</c:v>
                  </c:pt>
                  <c:pt idx="64">
                    <c:v>FUNDACAO WALL FERRAZ</c:v>
                  </c:pt>
                  <c:pt idx="65">
                    <c:v>INSTITUTO NACIONAL DE PARCERIAS PUBLICAS - INPP</c:v>
                  </c:pt>
                  <c:pt idx="66">
                    <c:v>AT do Brasil</c:v>
                  </c:pt>
                  <c:pt idx="67">
                    <c:v>Incluir Treinamentos</c:v>
                  </c:pt>
                  <c:pt idx="68">
                    <c:v>Universidade Federal do Fluminense - UFF</c:v>
                  </c:pt>
                </c:lvl>
                <c:lvl>
                  <c:pt idx="0">
                    <c:v>PREFEITURAS</c:v>
                  </c:pt>
                  <c:pt idx="1">
                    <c:v>PREFEITURAS</c:v>
                  </c:pt>
                  <c:pt idx="2">
                    <c:v>PREFEITURAS</c:v>
                  </c:pt>
                  <c:pt idx="3">
                    <c:v>PREFEITURAS</c:v>
                  </c:pt>
                  <c:pt idx="4">
                    <c:v>PREFEITURAS</c:v>
                  </c:pt>
                  <c:pt idx="5">
                    <c:v>PREFEITURAS</c:v>
                  </c:pt>
                  <c:pt idx="6">
                    <c:v>PREFEITURAS</c:v>
                  </c:pt>
                  <c:pt idx="7">
                    <c:v>PREFEITURAS</c:v>
                  </c:pt>
                  <c:pt idx="8">
                    <c:v>PREFEITURAS</c:v>
                  </c:pt>
                  <c:pt idx="9">
                    <c:v>PREFEITURAS</c:v>
                  </c:pt>
                  <c:pt idx="10">
                    <c:v>PREFEITURAS</c:v>
                  </c:pt>
                  <c:pt idx="11">
                    <c:v>PREFEITURAS</c:v>
                  </c:pt>
                  <c:pt idx="12">
                    <c:v>PREFEITURAS</c:v>
                  </c:pt>
                  <c:pt idx="13">
                    <c:v>PREFEITURAS</c:v>
                  </c:pt>
                  <c:pt idx="14">
                    <c:v>PREFEITURAS</c:v>
                  </c:pt>
                  <c:pt idx="15">
                    <c:v>ESTADO</c:v>
                  </c:pt>
                  <c:pt idx="16">
                    <c:v>ESTADO</c:v>
                  </c:pt>
                  <c:pt idx="17">
                    <c:v>ESTADO</c:v>
                  </c:pt>
                  <c:pt idx="18">
                    <c:v>ESTADO</c:v>
                  </c:pt>
                  <c:pt idx="19">
                    <c:v>ESTADO</c:v>
                  </c:pt>
                  <c:pt idx="20">
                    <c:v>ESTADO</c:v>
                  </c:pt>
                  <c:pt idx="21">
                    <c:v>ESTADO</c:v>
                  </c:pt>
                  <c:pt idx="22">
                    <c:v>ESTADO</c:v>
                  </c:pt>
                  <c:pt idx="23">
                    <c:v>ESTADO</c:v>
                  </c:pt>
                  <c:pt idx="24">
                    <c:v>INSTITUTOS FEDERAIS</c:v>
                  </c:pt>
                  <c:pt idx="25">
                    <c:v>INSTITUTOS FEDERAIS</c:v>
                  </c:pt>
                  <c:pt idx="26">
                    <c:v>UNIVERSIDADES</c:v>
                  </c:pt>
                  <c:pt idx="27">
                    <c:v>INSTITUTOS FEDERAIS</c:v>
                  </c:pt>
                  <c:pt idx="28">
                    <c:v>INSTITUTOS FEDERAIS</c:v>
                  </c:pt>
                  <c:pt idx="29">
                    <c:v>UNIVERSIDADES</c:v>
                  </c:pt>
                  <c:pt idx="30">
                    <c:v>UNIVERSIDADES</c:v>
                  </c:pt>
                  <c:pt idx="31">
                    <c:v>INSTITUTOS FEDERAIS</c:v>
                  </c:pt>
                  <c:pt idx="32">
                    <c:v>UNIVERSIDADES</c:v>
                  </c:pt>
                  <c:pt idx="33">
                    <c:v>INSTITUTOS FEDERAIS</c:v>
                  </c:pt>
                  <c:pt idx="34">
                    <c:v>INSTITUTOS FEDERAIS</c:v>
                  </c:pt>
                  <c:pt idx="35">
                    <c:v>INSTITUTOS FEDERAIS</c:v>
                  </c:pt>
                  <c:pt idx="36">
                    <c:v>UNIVERSIDADES</c:v>
                  </c:pt>
                  <c:pt idx="37">
                    <c:v>UNIVERSIDADES</c:v>
                  </c:pt>
                  <c:pt idx="38">
                    <c:v>INSTITUTOS FEDERAIS</c:v>
                  </c:pt>
                  <c:pt idx="39">
                    <c:v>UNIVERSIDADES</c:v>
                  </c:pt>
                  <c:pt idx="40">
                    <c:v>UNIVERSIDADES</c:v>
                  </c:pt>
                  <c:pt idx="41">
                    <c:v>INSTITUTOS FEDERAIS</c:v>
                  </c:pt>
                  <c:pt idx="42">
                    <c:v>INSTITUTOS FEDERAIS</c:v>
                  </c:pt>
                  <c:pt idx="43">
                    <c:v>UNIVERSIDADES</c:v>
                  </c:pt>
                  <c:pt idx="44">
                    <c:v>INSTITUTOS FEDERAIS</c:v>
                  </c:pt>
                  <c:pt idx="45">
                    <c:v>INSTITUTOS FEDERAIS</c:v>
                  </c:pt>
                  <c:pt idx="46">
                    <c:v>SISTEMA S</c:v>
                  </c:pt>
                  <c:pt idx="47">
                    <c:v>SISTEMA S</c:v>
                  </c:pt>
                  <c:pt idx="48">
                    <c:v>SISTEMA S</c:v>
                  </c:pt>
                  <c:pt idx="49">
                    <c:v>SISTEMA S</c:v>
                  </c:pt>
                  <c:pt idx="50">
                    <c:v>SISTEMA S</c:v>
                  </c:pt>
                  <c:pt idx="51">
                    <c:v>SISTEMA S</c:v>
                  </c:pt>
                  <c:pt idx="52">
                    <c:v>SISTEMA S</c:v>
                  </c:pt>
                  <c:pt idx="53">
                    <c:v>SISTEMA S</c:v>
                  </c:pt>
                  <c:pt idx="54">
                    <c:v>SISTEMA S</c:v>
                  </c:pt>
                  <c:pt idx="55">
                    <c:v>SISTEMA S</c:v>
                  </c:pt>
                  <c:pt idx="56">
                    <c:v>ORGANIZAÇÕES PARCEIRAS, ONGs</c:v>
                  </c:pt>
                  <c:pt idx="57">
                    <c:v>ORGANIZAÇÕES PARCEIRAS, ONGs</c:v>
                  </c:pt>
                  <c:pt idx="58">
                    <c:v>ORGANIZAÇÕES PARCEIRAS, ONGs</c:v>
                  </c:pt>
                  <c:pt idx="59">
                    <c:v>ORGANIZAÇÕES PARCEIRAS, ONGs</c:v>
                  </c:pt>
                  <c:pt idx="60">
                    <c:v>ORGANIZAÇÕES PARCEIRAS, ONGs</c:v>
                  </c:pt>
                  <c:pt idx="61">
                    <c:v>ORGANIZAÇÕES PARCEIRAS, ONGs</c:v>
                  </c:pt>
                  <c:pt idx="62">
                    <c:v>ORGANIZAÇÕES PARCEIRAS, ONGs</c:v>
                  </c:pt>
                  <c:pt idx="63">
                    <c:v>ORGANIZAÇÕES PARCEIRAS, ONGs</c:v>
                  </c:pt>
                  <c:pt idx="64">
                    <c:v>ESTADO</c:v>
                  </c:pt>
                  <c:pt idx="65">
                    <c:v>ORGANIZAÇÕES PARCEIRAS, ONGs</c:v>
                  </c:pt>
                  <c:pt idx="66">
                    <c:v>ORGANIZAÇÕES PARCEIRAS, ONGs</c:v>
                  </c:pt>
                  <c:pt idx="67">
                    <c:v>ORGANIZAÇÕES PARCEIRAS, ONGs</c:v>
                  </c:pt>
                  <c:pt idx="68">
                    <c:v>UNIVERSIDADES</c:v>
                  </c:pt>
                </c:lvl>
              </c:multiLvlStrCache>
            </c:multiLvlStrRef>
          </c:cat>
          <c:val>
            <c:numRef>
              <c:f>Geral!$M$2:$M$70</c:f>
              <c:numCache>
                <c:formatCode>#,##0</c:formatCode>
                <c:ptCount val="69"/>
                <c:pt idx="15">
                  <c:v>646</c:v>
                </c:pt>
                <c:pt idx="25">
                  <c:v>1795</c:v>
                </c:pt>
                <c:pt idx="26">
                  <c:v>1004</c:v>
                </c:pt>
                <c:pt idx="27">
                  <c:v>100</c:v>
                </c:pt>
                <c:pt idx="28">
                  <c:v>7403</c:v>
                </c:pt>
                <c:pt idx="29">
                  <c:v>3479</c:v>
                </c:pt>
                <c:pt idx="30">
                  <c:v>45</c:v>
                </c:pt>
                <c:pt idx="31">
                  <c:v>193</c:v>
                </c:pt>
                <c:pt idx="32">
                  <c:v>1917</c:v>
                </c:pt>
                <c:pt idx="33">
                  <c:v>243</c:v>
                </c:pt>
                <c:pt idx="34">
                  <c:v>3840</c:v>
                </c:pt>
                <c:pt idx="35">
                  <c:v>712</c:v>
                </c:pt>
                <c:pt idx="36">
                  <c:v>615</c:v>
                </c:pt>
                <c:pt idx="37">
                  <c:v>534</c:v>
                </c:pt>
                <c:pt idx="38">
                  <c:v>499</c:v>
                </c:pt>
                <c:pt idx="39">
                  <c:v>2172</c:v>
                </c:pt>
                <c:pt idx="40">
                  <c:v>206</c:v>
                </c:pt>
                <c:pt idx="41">
                  <c:v>191</c:v>
                </c:pt>
                <c:pt idx="42">
                  <c:v>1102</c:v>
                </c:pt>
                <c:pt idx="43">
                  <c:v>378</c:v>
                </c:pt>
                <c:pt idx="44">
                  <c:v>80</c:v>
                </c:pt>
                <c:pt idx="45">
                  <c:v>402</c:v>
                </c:pt>
                <c:pt idx="50">
                  <c:v>1371</c:v>
                </c:pt>
                <c:pt idx="51">
                  <c:v>307</c:v>
                </c:pt>
                <c:pt idx="52">
                  <c:v>771</c:v>
                </c:pt>
                <c:pt idx="53">
                  <c:v>1965</c:v>
                </c:pt>
                <c:pt idx="54">
                  <c:v>1622</c:v>
                </c:pt>
                <c:pt idx="55">
                  <c:v>70</c:v>
                </c:pt>
                <c:pt idx="66">
                  <c:v>14</c:v>
                </c:pt>
                <c:pt idx="67">
                  <c:v>94</c:v>
                </c:pt>
                <c:pt idx="68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A1-47DC-B32F-6DFED6FB4896}"/>
            </c:ext>
          </c:extLst>
        </c:ser>
        <c:ser>
          <c:idx val="10"/>
          <c:order val="10"/>
          <c:tx>
            <c:strRef>
              <c:f>Geral!$N$1</c:f>
              <c:strCache>
                <c:ptCount val="1"/>
                <c:pt idx="0">
                  <c:v>Qualificados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Geral!$A$2:$B$70</c:f>
              <c:multiLvlStrCache>
                <c:ptCount val="69"/>
                <c:lvl>
                  <c:pt idx="0">
                    <c:v>PREFEITURA MUNICIPAL DE CANINDÉ DE SÃO FRANCISCO</c:v>
                  </c:pt>
                  <c:pt idx="1">
                    <c:v>Prefeitura Municipal de Trajano de Moraes</c:v>
                  </c:pt>
                  <c:pt idx="2">
                    <c:v>Prefeitura Municipal de Nilópolis</c:v>
                  </c:pt>
                  <c:pt idx="3">
                    <c:v>Municipio de Porangatu</c:v>
                  </c:pt>
                  <c:pt idx="4">
                    <c:v>MUNICÍPIO DE CAPELA</c:v>
                  </c:pt>
                  <c:pt idx="5">
                    <c:v>Prefeitura Municipal de Tibau do Sul</c:v>
                  </c:pt>
                  <c:pt idx="6">
                    <c:v>Município de Iaçu</c:v>
                  </c:pt>
                  <c:pt idx="7">
                    <c:v>PREFEITURA MUNICIPAL DE WENCESLAU GUIMARÃES/BA</c:v>
                  </c:pt>
                  <c:pt idx="8">
                    <c:v>PREFEITURA MUNICIPAL DE SOBRAL</c:v>
                  </c:pt>
                  <c:pt idx="9">
                    <c:v>PREFEITURA MUNICIPAL DE SOBRAL</c:v>
                  </c:pt>
                  <c:pt idx="10">
                    <c:v>Prefeitura Municipal De Careiro</c:v>
                  </c:pt>
                  <c:pt idx="11">
                    <c:v>PREFEITURA MUNICIPAL DE CONDE/PB</c:v>
                  </c:pt>
                  <c:pt idx="12">
                    <c:v>Prefeitura Municipal de Italva</c:v>
                  </c:pt>
                  <c:pt idx="13">
                    <c:v>MUNICIPIO DE NATAL</c:v>
                  </c:pt>
                  <c:pt idx="14">
                    <c:v>MUNICIPIO DE NATAL</c:v>
                  </c:pt>
                  <c:pt idx="15">
                    <c:v>Secretaria Estadual de Turismo do Rio Grande do Norte SETUR-RN</c:v>
                  </c:pt>
                  <c:pt idx="16">
                    <c:v>EMPRESA ESTADUAL DE TURISMO - AMAZONASTUR</c:v>
                  </c:pt>
                  <c:pt idx="17">
                    <c:v>EMPRESA ESTADUAL DE TURISMO - AMAZONASTUR</c:v>
                  </c:pt>
                  <c:pt idx="18">
                    <c:v>SECRETARIA DE ESTADO ECONOMICO DO PIAUÍ – SDE - Teresina/PI</c:v>
                  </c:pt>
                  <c:pt idx="19">
                    <c:v>SECRETARIA DE ESTADO ECONOMICO DO PIAUÍ – SDE - Parnaíba/PI</c:v>
                  </c:pt>
                  <c:pt idx="20">
                    <c:v>SECRETARIA DE ESTADO ECONOMICO DO PIAUÍ – SDE - Luzilândia/PI</c:v>
                  </c:pt>
                  <c:pt idx="21">
                    <c:v>SECRETARIA DE ESTADO DE ASSISTENCIA SOCIAL, TRABALHO, EMPREGO E RENDA -SEASTER</c:v>
                  </c:pt>
                  <c:pt idx="22">
                    <c:v>Secretaria de Estado de Turismo – SETUR - PA</c:v>
                  </c:pt>
                  <c:pt idx="23">
                    <c:v>ESTADO DO ACRE</c:v>
                  </c:pt>
                  <c:pt idx="24">
                    <c:v>Instituto Federal de Educação, Ciência e Tecnologia do Maranhão - IFMA</c:v>
                  </c:pt>
                  <c:pt idx="25">
                    <c:v>Instituto Federal de Educação, Ciência e Tecnologia Do Piauí – IFPI</c:v>
                  </c:pt>
                  <c:pt idx="26">
                    <c:v>plataforma qualifica turismo (UFMA)</c:v>
                  </c:pt>
                  <c:pt idx="27">
                    <c:v>Instituto Federal de Educação, Ciência e Tecnologia da Paraíba - IFPB</c:v>
                  </c:pt>
                  <c:pt idx="28">
                    <c:v>Instituto Federal de Educação, Ciência e Tecnologia Sul-riograndense (IFSul)</c:v>
                  </c:pt>
                  <c:pt idx="29">
                    <c:v>Escola Nacional de Turismo (IFPA)</c:v>
                  </c:pt>
                  <c:pt idx="30">
                    <c:v>Universidade Federal do Fluminense - UFF</c:v>
                  </c:pt>
                  <c:pt idx="31">
                    <c:v>Instituto Federal de Educação, Ciência e Tecnologia do Tocantins -IFTO</c:v>
                  </c:pt>
                  <c:pt idx="32">
                    <c:v>plataforma qualifica turismo (UFMA)</c:v>
                  </c:pt>
                  <c:pt idx="33">
                    <c:v>Instituto Federal de Educação, Ciência e Tecnologia da Paraíba - IFPB</c:v>
                  </c:pt>
                  <c:pt idx="34">
                    <c:v>Instituto Federal de Educação, Ciência e Tecnologia Sul-riograndense (IFSul)</c:v>
                  </c:pt>
                  <c:pt idx="35">
                    <c:v>Instituto Federal de Educação, Ciência e Tecnologia do Tocantins -IFTO</c:v>
                  </c:pt>
                  <c:pt idx="36">
                    <c:v>Universidade Federal do Tocantins - UFT</c:v>
                  </c:pt>
                  <c:pt idx="37">
                    <c:v>Universidade Federal do Fluminense - UFF</c:v>
                  </c:pt>
                  <c:pt idx="38">
                    <c:v>Escola Nacional de Turismo (IFPA)</c:v>
                  </c:pt>
                  <c:pt idx="39">
                    <c:v>plataforma qualifica turismo (UFMA)</c:v>
                  </c:pt>
                  <c:pt idx="40">
                    <c:v>Universidade Federal do Tocantins - UFT</c:v>
                  </c:pt>
                  <c:pt idx="41">
                    <c:v>Instituto Federal de Educação, Ciência e Tecnologia da Paraíba - IFPB</c:v>
                  </c:pt>
                  <c:pt idx="42">
                    <c:v>Instituto Federal de Educação, Ciência e Tecnologia do Tocantins -IFTO</c:v>
                  </c:pt>
                  <c:pt idx="43">
                    <c:v>Universidade Federal do Fluminense - UFF</c:v>
                  </c:pt>
                  <c:pt idx="44">
                    <c:v>Instituto Federal de Educação, Ciência e Tecnologia do Ceará - IFCE</c:v>
                  </c:pt>
                  <c:pt idx="45">
                    <c:v>Instituto Federal de Educação, Ciência e Tecnologia Sul-riograndense (IFSul)</c:v>
                  </c:pt>
                  <c:pt idx="46">
                    <c:v>SERVIÇO NACIONAL DA APRESENDIZAGEM COMERCIAL - SENAC - AR/RN</c:v>
                  </c:pt>
                  <c:pt idx="47">
                    <c:v>SERVIÇO NACIONAL DA APRESENDIZAGEM COMERCIAL - SENAC - AR/RN</c:v>
                  </c:pt>
                  <c:pt idx="48">
                    <c:v>SERVIÇO NACIONAL DA APRESENDIZAGEM COMERCIAL - SENAC - AR/RN</c:v>
                  </c:pt>
                  <c:pt idx="49">
                    <c:v>SERVICO DE APOIO AS MICRO E PEQUENAS EMPRESAS DE SE - SEBRAE</c:v>
                  </c:pt>
                  <c:pt idx="50">
                    <c:v>ACT Sesc/Senac </c:v>
                  </c:pt>
                  <c:pt idx="51">
                    <c:v>ACT Sesc/Senac</c:v>
                  </c:pt>
                  <c:pt idx="52">
                    <c:v>Senac-PR
</c:v>
                  </c:pt>
                  <c:pt idx="53">
                    <c:v>Senac/PR</c:v>
                  </c:pt>
                  <c:pt idx="54">
                    <c:v>Senac/SC</c:v>
                  </c:pt>
                  <c:pt idx="55">
                    <c:v>Senac-Pará</c:v>
                  </c:pt>
                  <c:pt idx="56">
                    <c:v>Associação Brasileira da Indústria de Hotéis do Rio Grande do Norte - ABIH/RN</c:v>
                  </c:pt>
                  <c:pt idx="57">
                    <c:v>Associação Construir de Assistência Social</c:v>
                  </c:pt>
                  <c:pt idx="58">
                    <c:v>Instituto Conexão</c:v>
                  </c:pt>
                  <c:pt idx="59">
                    <c:v>Instituto Conexão</c:v>
                  </c:pt>
                  <c:pt idx="60">
                    <c:v>INSTITUTO FUTURE DE JUVENTUDE, PROMOÇÃO, TURISMO, CULTURA E DESENVOLVIMENTO SUSTENTÁVEL</c:v>
                  </c:pt>
                  <c:pt idx="61">
                    <c:v>INSTITUTO RESGATE ONG ESCOLA VOLUNTARIA AGRICOLA</c:v>
                  </c:pt>
                  <c:pt idx="62">
                    <c:v>INSTITUTO SOCIAL DE CAPELANIA EDUCACIONAL E CULTURAL DO MARANHAO ISCEC MA</c:v>
                  </c:pt>
                  <c:pt idx="63">
                    <c:v>Instituto Somar Solução Brasil</c:v>
                  </c:pt>
                  <c:pt idx="64">
                    <c:v>FUNDACAO WALL FERRAZ</c:v>
                  </c:pt>
                  <c:pt idx="65">
                    <c:v>INSTITUTO NACIONAL DE PARCERIAS PUBLICAS - INPP</c:v>
                  </c:pt>
                  <c:pt idx="66">
                    <c:v>AT do Brasil</c:v>
                  </c:pt>
                  <c:pt idx="67">
                    <c:v>Incluir Treinamentos</c:v>
                  </c:pt>
                  <c:pt idx="68">
                    <c:v>Universidade Federal do Fluminense - UFF</c:v>
                  </c:pt>
                </c:lvl>
                <c:lvl>
                  <c:pt idx="0">
                    <c:v>PREFEITURAS</c:v>
                  </c:pt>
                  <c:pt idx="1">
                    <c:v>PREFEITURAS</c:v>
                  </c:pt>
                  <c:pt idx="2">
                    <c:v>PREFEITURAS</c:v>
                  </c:pt>
                  <c:pt idx="3">
                    <c:v>PREFEITURAS</c:v>
                  </c:pt>
                  <c:pt idx="4">
                    <c:v>PREFEITURAS</c:v>
                  </c:pt>
                  <c:pt idx="5">
                    <c:v>PREFEITURAS</c:v>
                  </c:pt>
                  <c:pt idx="6">
                    <c:v>PREFEITURAS</c:v>
                  </c:pt>
                  <c:pt idx="7">
                    <c:v>PREFEITURAS</c:v>
                  </c:pt>
                  <c:pt idx="8">
                    <c:v>PREFEITURAS</c:v>
                  </c:pt>
                  <c:pt idx="9">
                    <c:v>PREFEITURAS</c:v>
                  </c:pt>
                  <c:pt idx="10">
                    <c:v>PREFEITURAS</c:v>
                  </c:pt>
                  <c:pt idx="11">
                    <c:v>PREFEITURAS</c:v>
                  </c:pt>
                  <c:pt idx="12">
                    <c:v>PREFEITURAS</c:v>
                  </c:pt>
                  <c:pt idx="13">
                    <c:v>PREFEITURAS</c:v>
                  </c:pt>
                  <c:pt idx="14">
                    <c:v>PREFEITURAS</c:v>
                  </c:pt>
                  <c:pt idx="15">
                    <c:v>ESTADO</c:v>
                  </c:pt>
                  <c:pt idx="16">
                    <c:v>ESTADO</c:v>
                  </c:pt>
                  <c:pt idx="17">
                    <c:v>ESTADO</c:v>
                  </c:pt>
                  <c:pt idx="18">
                    <c:v>ESTADO</c:v>
                  </c:pt>
                  <c:pt idx="19">
                    <c:v>ESTADO</c:v>
                  </c:pt>
                  <c:pt idx="20">
                    <c:v>ESTADO</c:v>
                  </c:pt>
                  <c:pt idx="21">
                    <c:v>ESTADO</c:v>
                  </c:pt>
                  <c:pt idx="22">
                    <c:v>ESTADO</c:v>
                  </c:pt>
                  <c:pt idx="23">
                    <c:v>ESTADO</c:v>
                  </c:pt>
                  <c:pt idx="24">
                    <c:v>INSTITUTOS FEDERAIS</c:v>
                  </c:pt>
                  <c:pt idx="25">
                    <c:v>INSTITUTOS FEDERAIS</c:v>
                  </c:pt>
                  <c:pt idx="26">
                    <c:v>UNIVERSIDADES</c:v>
                  </c:pt>
                  <c:pt idx="27">
                    <c:v>INSTITUTOS FEDERAIS</c:v>
                  </c:pt>
                  <c:pt idx="28">
                    <c:v>INSTITUTOS FEDERAIS</c:v>
                  </c:pt>
                  <c:pt idx="29">
                    <c:v>UNIVERSIDADES</c:v>
                  </c:pt>
                  <c:pt idx="30">
                    <c:v>UNIVERSIDADES</c:v>
                  </c:pt>
                  <c:pt idx="31">
                    <c:v>INSTITUTOS FEDERAIS</c:v>
                  </c:pt>
                  <c:pt idx="32">
                    <c:v>UNIVERSIDADES</c:v>
                  </c:pt>
                  <c:pt idx="33">
                    <c:v>INSTITUTOS FEDERAIS</c:v>
                  </c:pt>
                  <c:pt idx="34">
                    <c:v>INSTITUTOS FEDERAIS</c:v>
                  </c:pt>
                  <c:pt idx="35">
                    <c:v>INSTITUTOS FEDERAIS</c:v>
                  </c:pt>
                  <c:pt idx="36">
                    <c:v>UNIVERSIDADES</c:v>
                  </c:pt>
                  <c:pt idx="37">
                    <c:v>UNIVERSIDADES</c:v>
                  </c:pt>
                  <c:pt idx="38">
                    <c:v>INSTITUTOS FEDERAIS</c:v>
                  </c:pt>
                  <c:pt idx="39">
                    <c:v>UNIVERSIDADES</c:v>
                  </c:pt>
                  <c:pt idx="40">
                    <c:v>UNIVERSIDADES</c:v>
                  </c:pt>
                  <c:pt idx="41">
                    <c:v>INSTITUTOS FEDERAIS</c:v>
                  </c:pt>
                  <c:pt idx="42">
                    <c:v>INSTITUTOS FEDERAIS</c:v>
                  </c:pt>
                  <c:pt idx="43">
                    <c:v>UNIVERSIDADES</c:v>
                  </c:pt>
                  <c:pt idx="44">
                    <c:v>INSTITUTOS FEDERAIS</c:v>
                  </c:pt>
                  <c:pt idx="45">
                    <c:v>INSTITUTOS FEDERAIS</c:v>
                  </c:pt>
                  <c:pt idx="46">
                    <c:v>SISTEMA S</c:v>
                  </c:pt>
                  <c:pt idx="47">
                    <c:v>SISTEMA S</c:v>
                  </c:pt>
                  <c:pt idx="48">
                    <c:v>SISTEMA S</c:v>
                  </c:pt>
                  <c:pt idx="49">
                    <c:v>SISTEMA S</c:v>
                  </c:pt>
                  <c:pt idx="50">
                    <c:v>SISTEMA S</c:v>
                  </c:pt>
                  <c:pt idx="51">
                    <c:v>SISTEMA S</c:v>
                  </c:pt>
                  <c:pt idx="52">
                    <c:v>SISTEMA S</c:v>
                  </c:pt>
                  <c:pt idx="53">
                    <c:v>SISTEMA S</c:v>
                  </c:pt>
                  <c:pt idx="54">
                    <c:v>SISTEMA S</c:v>
                  </c:pt>
                  <c:pt idx="55">
                    <c:v>SISTEMA S</c:v>
                  </c:pt>
                  <c:pt idx="56">
                    <c:v>ORGANIZAÇÕES PARCEIRAS, ONGs</c:v>
                  </c:pt>
                  <c:pt idx="57">
                    <c:v>ORGANIZAÇÕES PARCEIRAS, ONGs</c:v>
                  </c:pt>
                  <c:pt idx="58">
                    <c:v>ORGANIZAÇÕES PARCEIRAS, ONGs</c:v>
                  </c:pt>
                  <c:pt idx="59">
                    <c:v>ORGANIZAÇÕES PARCEIRAS, ONGs</c:v>
                  </c:pt>
                  <c:pt idx="60">
                    <c:v>ORGANIZAÇÕES PARCEIRAS, ONGs</c:v>
                  </c:pt>
                  <c:pt idx="61">
                    <c:v>ORGANIZAÇÕES PARCEIRAS, ONGs</c:v>
                  </c:pt>
                  <c:pt idx="62">
                    <c:v>ORGANIZAÇÕES PARCEIRAS, ONGs</c:v>
                  </c:pt>
                  <c:pt idx="63">
                    <c:v>ORGANIZAÇÕES PARCEIRAS, ONGs</c:v>
                  </c:pt>
                  <c:pt idx="64">
                    <c:v>ESTADO</c:v>
                  </c:pt>
                  <c:pt idx="65">
                    <c:v>ORGANIZAÇÕES PARCEIRAS, ONGs</c:v>
                  </c:pt>
                  <c:pt idx="66">
                    <c:v>ORGANIZAÇÕES PARCEIRAS, ONGs</c:v>
                  </c:pt>
                  <c:pt idx="67">
                    <c:v>ORGANIZAÇÕES PARCEIRAS, ONGs</c:v>
                  </c:pt>
                  <c:pt idx="68">
                    <c:v>UNIVERSIDADES</c:v>
                  </c:pt>
                </c:lvl>
              </c:multiLvlStrCache>
            </c:multiLvlStrRef>
          </c:cat>
          <c:val>
            <c:numRef>
              <c:f>Geral!$N$2:$N$70</c:f>
              <c:numCache>
                <c:formatCode>#,##0</c:formatCode>
                <c:ptCount val="69"/>
                <c:pt idx="15">
                  <c:v>311</c:v>
                </c:pt>
                <c:pt idx="25">
                  <c:v>1642</c:v>
                </c:pt>
                <c:pt idx="26">
                  <c:v>664</c:v>
                </c:pt>
                <c:pt idx="27">
                  <c:v>69</c:v>
                </c:pt>
                <c:pt idx="28">
                  <c:v>2094</c:v>
                </c:pt>
                <c:pt idx="29">
                  <c:v>2737</c:v>
                </c:pt>
                <c:pt idx="30">
                  <c:v>45</c:v>
                </c:pt>
                <c:pt idx="31">
                  <c:v>193</c:v>
                </c:pt>
                <c:pt idx="32">
                  <c:v>1917</c:v>
                </c:pt>
                <c:pt idx="33">
                  <c:v>160</c:v>
                </c:pt>
                <c:pt idx="34">
                  <c:v>1692</c:v>
                </c:pt>
                <c:pt idx="35">
                  <c:v>409</c:v>
                </c:pt>
                <c:pt idx="36">
                  <c:v>146</c:v>
                </c:pt>
                <c:pt idx="37">
                  <c:v>572</c:v>
                </c:pt>
                <c:pt idx="38">
                  <c:v>372</c:v>
                </c:pt>
                <c:pt idx="39">
                  <c:v>642</c:v>
                </c:pt>
                <c:pt idx="40">
                  <c:v>136</c:v>
                </c:pt>
                <c:pt idx="41">
                  <c:v>119</c:v>
                </c:pt>
                <c:pt idx="42">
                  <c:v>769</c:v>
                </c:pt>
                <c:pt idx="43">
                  <c:v>228</c:v>
                </c:pt>
                <c:pt idx="44">
                  <c:v>33</c:v>
                </c:pt>
                <c:pt idx="45">
                  <c:v>402</c:v>
                </c:pt>
                <c:pt idx="50">
                  <c:v>1122</c:v>
                </c:pt>
                <c:pt idx="51">
                  <c:v>179</c:v>
                </c:pt>
                <c:pt idx="52">
                  <c:v>391</c:v>
                </c:pt>
                <c:pt idx="53">
                  <c:v>939</c:v>
                </c:pt>
                <c:pt idx="54">
                  <c:v>454</c:v>
                </c:pt>
                <c:pt idx="55">
                  <c:v>55</c:v>
                </c:pt>
                <c:pt idx="66">
                  <c:v>14</c:v>
                </c:pt>
                <c:pt idx="67">
                  <c:v>94</c:v>
                </c:pt>
                <c:pt idx="68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A1-47DC-B32F-6DFED6FB4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134128"/>
        <c:axId val="398898768"/>
      </c:barChart>
      <c:catAx>
        <c:axId val="153113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8898768"/>
        <c:crosses val="autoZero"/>
        <c:auto val="1"/>
        <c:lblAlgn val="ctr"/>
        <c:lblOffset val="100"/>
        <c:noMultiLvlLbl val="0"/>
      </c:catAx>
      <c:valAx>
        <c:axId val="39889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113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RELATÓRIO GERAL QUALIFICADOS (2023 a 2026)</cx:v>
        </cx:txData>
      </cx:tx>
      <cx:spPr>
        <a:gradFill rotWithShape="1">
          <a:gsLst>
            <a:gs pos="0">
              <a:schemeClr val="accent3">
                <a:lumMod val="110000"/>
                <a:satMod val="105000"/>
                <a:tint val="67000"/>
              </a:schemeClr>
            </a:gs>
            <a:gs pos="50000">
              <a:schemeClr val="accent3">
                <a:lumMod val="105000"/>
                <a:satMod val="103000"/>
                <a:tint val="73000"/>
              </a:schemeClr>
            </a:gs>
            <a:gs pos="100000">
              <a:schemeClr val="accent3">
                <a:lumMod val="105000"/>
                <a:satMod val="109000"/>
                <a:tint val="81000"/>
              </a:schemeClr>
            </a:gs>
          </a:gsLst>
          <a:lin ang="5400000" scaled="0"/>
        </a:gradFill>
        <a:ln w="12700" cap="flat" cmpd="sng" algn="ctr">
          <a:solidFill>
            <a:schemeClr val="accent3"/>
          </a:solidFill>
          <a:prstDash val="solid"/>
          <a:miter lim="800000"/>
        </a:ln>
        <a:effectLst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 b="1">
              <a:solidFill>
                <a:schemeClr val="bg1"/>
              </a:solidFill>
              <a:latin typeface="Aptos Black" panose="020B0004020202020204" pitchFamily="34" charset="0"/>
              <a:ea typeface="Aptos Black" panose="020B0004020202020204" pitchFamily="34" charset="0"/>
              <a:cs typeface="Aptos Black" panose="020B0004020202020204" pitchFamily="34" charset="0"/>
            </a:defRPr>
          </a:pPr>
          <a:r>
            <a:rPr>
              <a:solidFill>
                <a:schemeClr val="bg1"/>
              </a:solidFill>
              <a:latin typeface="+mn-lt"/>
              <a:ea typeface="+mn-ea"/>
              <a:cs typeface="+mn-cs"/>
            </a:rPr>
            <a:t>RELATÓRIO GERAL QUALIFICADOS (2023 a 2026)</a:t>
          </a:r>
        </a:p>
      </cx:txPr>
    </cx:title>
    <cx:plotArea>
      <cx:plotAreaRegion>
        <cx:series layoutId="regionMap" uniqueId="{76A976C8-4CAE-4806-8B66-29FBC4183C4E}">
          <cx:tx>
            <cx:txData>
              <cx:f>_xlchart.v5.2</cx:f>
              <cx:v>TOTAL GERAL DE 2023 A 2026</cx:v>
            </cx:txData>
          </cx:tx>
          <cx:dataLabels>
            <cx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 b="1">
                    <a:solidFill>
                      <a:schemeClr val="bg1"/>
                    </a:solidFill>
                  </a:defRPr>
                </a:pPr>
                <a:endParaRPr lang="pt-BR" sz="9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dataLabel idx="25">
              <cx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>
                  <a:noFill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pt-BR" sz="900" b="1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1.410</a:t>
                  </a:r>
                </a:p>
              </cx:txPr>
              <cx:separator>, </cx:separator>
            </cx:dataLabel>
          </cx:dataLabels>
          <cx:dataId val="0"/>
          <cx:layoutPr>
            <cx:geography cultureLanguage="pt-BR" cultureRegion="BR" attribution="Da plataforma Bing">
              <cx:geoCache provider="{E9337A44-BEBE-4D9F-B70C-5C5E7DAFC167}">
                <cx:binary>1H3ZktxGku2v0Ph8UQrEggDaWmMmAFkbF3GTKOoFViIpILAF9u1vxu5zv90/0I/dg1rUmUiowOqu
tpkqM0omZaI8wnc/7g7+/fPwt8/p16vq2ZClef23z8P3z6OmKf723Xf15+hrdlWfZOpzpWv9e3Py
WWff6d9/V5+/fveluupVHn5Hicm/+xxdVc3X4fl//R2/LfyqX+rPV43S+dv2azW++1q3aVPf89nq
R8+uvmQq91XdVOpzY37//NVVo5+d4SS1fv7sa96oZvwwFl+/f37wxefPvlv+uiPSz1Kcrmm/4FnD
FCeWyR3Tsaznz1Kdh3cfCOuEOIwy03Rufuw7qq+vMjz5jce5PszVly/V17rGla7/vXj44Pz47MPz
Z591mzcz60Jw8fvnbnVVq/T5M1Vr7+YTT8+nd99dX/e7Q67/198X/wMMWPyfPcEsubX10ZFc3in9
7MvXZ5dX+VdVPaZoKD1xiG0TYtJbERxKiLMTiE0yh5KbH3YooW8/2LqQls8v5PTu8mnJ6caUYEOn
X798ra6gTo9pRNKhpkk4X4hIntiOlILY4kZE5h3VGyN6yJnWhXT8GxZi8k+flpg8+OI//vuOTY/g
4diJtBmDF7sVAYEM9h0ds0+EbTvEFPSO6o1wtk+yLpK75xaC8HZPSxDvv1ahKr7e8eQRJGGSE8ck
wnHkUgTyBP/bdmy2CDLfcIZ1Gfz54EII75+YEM60+uO/68eUgXViOYRJIqwbjwSl37cG7pxQATkg
8KyG/e0DrQvk7rmFPM5+fFpGsZf1PPuin71vHzOMUHLCBZIxwm8D+sJMBEeuZiEhg3iuf/D5TQw7
Ssm+4XDrclq74EJmr94/LZm9b39rdHOVPvPArEobP36tm0239h9MGH9Ir0J99ZhG7ZxYFiXMkbc2
TeBG942aiRPJhGkR+zaTXLjZbzjRurb8+eBCRX54+bRUxL2K1NWdMT1GpEPqLqlDIJOFJJBsIJ+H
qOSfOf2+CW8eZF0Ot48tpOD+8LSk8OqqusqjP/7voxZRJ/CoHLy+danL7I/zE0aIJW06fwk/8k4N
7nzqN5xpXSh711kI5tVTE4zKr+pnZ6ia1GO6LdNBPmhbHBDKn/Fs322hwHWYsPAdiGj+YQvZfOOx
/kI8B08vJXT2tEznDUznj3/89pg+TJ6YjPA5Kb9h/tJyGD+xgT4QR8ibLyyk8y1HWpfMP59cSOWN
+8Sk8rXKr7Lf2s+P6dHsE6AJpuXIO5dmLkIMh1Vxi+FLqx7tzTcd6i8ks/fsUjZPrLJ6o67aP/5x
51AeIeaLE9S2pvynXJaVFT2xielwW9xGGqQG+6F/+0B/IZPbiyzlcfG0bGVGG88QawGlorB6rQGo
3/HnUYRjA2EAWH+HZiPM74caZMgU4uNE3jozGNW+cB54unVJrf6ShdjevX5aYvuzuILEvvxPF1af
q8fUGWQn0hY24bcqQRY6YwHcNZGbWPQ2fRGHOvPDxnHWleTmqYVW/OA9La34IbsqHhPEJSeEIU+8
iWc3/1yUuMI8QbKCkouuI+3bJ/oLcdzeZCmQN09OIJNGEn+noY/gUtF9onTGE8zb/HAR7ywIDXkI
NZEjXv/g832XColsHukvZXL75FIqr56WVJDoPqaVGOYJZw4DCHTXEVykhtw+4QCJbJvegrvLFGTr
POvyuL3GQhhvfnhawnin8y9//L/8UXEg+0Ra5szrv+g9WahwCb5hO7fI3TLt+JYzrQtl7zoLwbx7
Ypj7Ow3cIbu68x7/vutCIk75jPfcYXCLWALPZQnJ0dC9dW1HUtk80F/J5PbBpUTePS1T+YD5Fgyg
5I8ZTtAcpDbBNMMeMrqfocN3MSLYdav2OpwshPJNZ1oXy96jC8F8eGKmsp+Nb9dP/8Eex64u/vhH
pTBt8R6a8pjwB5pkDHitJHNLf/5ZGC+//pxS4Ip3HuMGyX3AkdbV5OgXLJRl9/5pWfGfyvIeo2D/
sy2x9wD9n725atNH1RR2IhhzLGeeoZp/4DEOPApa4dS2Lfuurlh0xb7tUOu6sv/sQk3e/y8vHf5i
9u4mdb8JvgdfefDEIQz0+ocsCgbBTm7y1rs25qJguJsC/OuTrMvi7rmDU/8vHyqcIfD8UWsDKlAc
AMvAdMGN31x0JufBDxvjByYaLjc/h+7zG060zv4/H1zYwZsnlvQconePO/nBZoDDEXQZzIBqUED9
DB/euLCFSTzoTOviWfkVC0G9e2pxDRnH1TPvqrmq0OK70+J/v2wwqDzB8JqNfiX+df2zCCho7nPT
pkhTb6TF7ojfZCBzKvRtB1sX1fL5hZzee082/9icovqPpqoNfG04D2/Xd/L6K2X5Dx7jwzyi9O/Q
/+uz/bkA4MMmdtebA3tT7vd/eq2JWGlYPHqL5K2mAzfx+eLL988Z3NWf6wjzbzgAAO/i8uH3v17V
DfYSqH1ic2lxG4NNFhozFsJVjywVH0mAJmhKUy4wSGpJJHjPn+XoF0XfP0cXx0I/GhkfCkliMguQ
fa3b+SODYRAY4Q0lvcQEJKeY9Li73BudjqHO/+TE7X8/y9vsjVZ5U+M3P39W3Hxrvpiw5iG8eZCV
S6xI2FigwOefr95hJQRfNv8PM8I8pmE1uqVoUuZN2Cmpzto25/oynETcYCr7T858EznOmW2CFGXc
NCnutU+uMGTQJg0fXDOpR/FlSBNzSt08UAZ/H3Knmj7fTw+10uJ6XCBZwPC6KZAVzHzcp0dUnlRj
Wg5uaZD8XSOZ9aFUVnz2ECpoUYNxNgBiTK/NFZ2cT7HHxG6anJC0ee3a1Oj8sSk6TzLe7O6ngkWW
vbvcUmEUvx5QHCBrpPn7VHRQF4HNstoN8tjZBa0h3Cof0l/DYSp9lTgGWnL3yeqQdzM9jHghAKDb
y20OTTykl5qTFM5gV25bOfxU2f1wGqWd6T6cChNSShsjNGh6LG5ltraKKxJUbswj+pGoMrtoimHy
76dyzDsxJyZCQtuhBzZMbZ93VZmSqJFO5Q4Jj6QXOYNu3aQSonW1M+raNcs++nA/zUPTuuYfWrEC
aJANg6VzmbBP08lZWWTdWLm6zOklMUrhd3USvyKtbW1cb4UUXAwMyhFMUlSDh6RokRGdtQlIpV3h
dk4+nRaqLbw6zlKsv9ynFSuctLjDOZVgo4QLOiQlCiu3jTyr3E7V8UWrYuvcgp94yTVzfuwrLc/v
p7eihfv0JDmkNzZ60lYHelVuTsV5ZgaFsYs7S23QWWOhoKaD9QlcD8X2IZ0gs6dRaVG6TlpGnRfH
Uzz6jWqnX1nYlRvE1pgo0MDAXhTDFIw9f77nMJyysuw6Hks3HGnit11FX0eWFXiC26NvDTZHinSf
0FYvZzNpUdiZsKyFKXe8DexG0dI105a7wonpTjVUuqGawg17XiNlEc4krNkUki4CimkIkRgDKd2x
Iqnf0NR6XccTdZ0srDYMbHbe/4xd1wZm7ZNaGFg3yaKqTdxKTPrHKJLhmZ2M5c/SZPxlz5Py58pu
f7mfkWvauE/yiJHKGPrEBCMjknm8CsQpNh/DDXNepYKeo20J1LrYKDlUj9opomoyosotlNO+SXQR
e4adM4C89ynFKpW5fcC5xYW0F5YViICXkSNLV9eZctmgrVPVaWsjNq6pumUzjuzHnBsVCyqVI1Wl
Sqt0jQotP8920uQytbLg96yoow8O/FWzYVyrGgg4jANYRbedLyjGRpRWymKl2yAxO0u79pPg/Dda
Url7OAMllhzoHLlsKueD7FmxJUgU9gIuIwoM6fVZbfs8NZsNgzJnizlU83lXgtuAAK05kCw8bmTY
qk1FXrklq5hb56z3xBTFu6IowrO818wtLHEWBElyxkTTG27Z5a07ER5teJFjhbFgOhahFHN7c9Jz
eF9HZaTrOkQZM29S621e86i+iFib1RsSNGczWl6ZWch1KMb/MIy2MLOhDu3IHHTlRipKLklKu9Oy
LNgH3VWvQssYLqu60Lsq0abLQN8bxiTyIIPGbJyLdjTKjVTo2NM4CK6wSMxlcJTFi/P0I/IjoxtK
tyB2z9w+dDLLpU0fMr8nIS1cVXXWu7ptsmFD+sc8B+W5CYDeKjtOj0bKhqw1ESkGpm2v0nHiTazN
NyS7er89KgsVG7vCmcISTruPzM5vw5R6fRkYZxkP3dH5pOO+9B9qO7gXBAzGWdIkzsJ327LPGTLK
0mWjXXmGM3Cv402+wb1j5wMqFlAM22JYGxGLOJtrGiS1bEo3CR3rnbbHcseSOj4jbRr/1qhqOr3/
Vmt8hMrOTXDspR15hCDRk0oFIpIV97zwu9I2XtCAhJ5tZ/Ur2o1O4w8hssCNe27RXdzTasOhLDUv
3TTLqxdxr/VFEbXTq7g1qhctJjk9ksTmhvtbY+6cbRLAemgzs4X7Gwo7K9MqB3OVKX5pjHZod9Tp
4rM+d0jhRrnRfLyfvfNvPHQLzlz5MoYSCGFxmQu2LOxzUYel2wV17ltlWfksizvXyIeHp51IpZHB
WAwjD5YQC4tI+DQlvcULd+zbdEeSqT0dGvHwZNoB0oaEBIkg4Da+kFs+1lpzOhauIYv+jCU8c5NY
viVlIty0IhvaueJLDqjNWrQXr/qQWvVgwVsRlQamx5RMLC+g1TRuaMacnyzkhGVxtDahHVgDNBf5
C+xYpVE0FW7akfoyso3sTOcZudSZsHeFtLoPQ28YiZuNfdQ/3BSAMQMWQX6NgpwtLimTwZ6SBtF/
MhrnfVoK+qNJaOsVVJQXurKm2C2iQGzceEUz59cXzHNi0oLeLAIEahKrYWaPVNQMWrdgTuoWZhy5
inTGw321c10ro8OBMkXMR9mTol3UY83DAglVpLsXVlu2FxlrxKXiDj1vAtlEblrW7QZbV0QKiAO4
AxIRW1C6iP1VVNIJrxuBv24tGrqpUrbfK11fCs3a1wPXsZvbTu2VqlMbpI/Udg66FmfUxCgLYuBC
oiLo86Is4VHC2C5cSnJ2CiymwwzdfdnwkQSvRy6BDsAUkW4tfUsVDKzqJ+jspBpTu3UbTz5K3PSc
FTLHmuB9tNZuBO+C9NOWwHLMRYaacMWVKJrCTZx8KNyyNaZfO4OmckNVVu/EGYPIgAxYSyempriw
e9IW0Mpk9Oti5C9I2mYX5dDWG75ljZScF6AYVnsJoMtDrWz6INc6y0CqDGsXsIfhF9P4KdJk3EgO
15iHXAgmYArimHLhXMrMjtRAi8KtOFG7ykCuG/VRuXuwiOYwg9AI5mGaflHG1qGMnFIpuDAxDS6x
6sgtdWY/XEBIqGc8DzQw9bugMpphQeM60G4vOiSXcFQ7Pdjx26AMp0/3X2hFQAwoJZY2EGbm1s6h
gCTNysgIk8LlZRucNklTewnrYg+QyIv7Ka0I6IDS/Pmeg8r1WAbTGBeuY3U/2zJnu5wGxYa+zZHx
IMRg+R/w5Oz/4HeBJR8SMZuhzLRpaNe0NHlZxkP5PmO9vnBCwSdX98Nwdv+tTLpGEaPCDuPcBNWF
hk9lGqd9CYo8dMDA0oz8Ic8TL3A6mrqRCKLzfOjC3aiEc5aTkv5ujMZlLfLiNGJ98u7+46wxGYK0
BKD0eRF3cf8wT7PWDqA50ukm3yiMeAeI4OvDiUiBvQCJVylAbxY6Y5X9pOpCaHdQFVXe2MdW49fE
KawNO1iTpnQ4YCPqwH84s/LuqUzAk5ywEcqZx/ngxRGzXNIbp6bozvPGGDeorfHOttD6sCXH5t8y
RWiH2hqyTheubETwIunG8qKAF/UfzjwbgAdHDoQ8cglsy1RWbAzhEeM6q17qNsp2g2BqA45duQvY
hiIKHhGCWnIuybWROCqa81QZvU57h3umEtFDoaL5XQ5AIOA2UNtgVeRQPvbUGY0x636iWPYqGwfq
F0Fub/jcY6RjJoNGlJDopaBymy+7pwaZNWlBMqnduA3US2O02alZppe6F45rke613Yt3hUGCXRnJ
4AXw7kvLKYqN+DKnEwvPAvs2GdoEQFvsZSIwlaR1mjBFImB11Nw1Q1Tnb/ggSPdStH3PvKF3UnVR
dQ7dgmlXzADVAJp+lFkYEF2mdoaOBGkzR7tjFrPEi4g1+n2hXjIecq+tA/zzwTqK4EOBQWPADExf
+LSWyiGbCLwIjyLl9jWrTmU2bVnCcegxIVIgZNCg6zXoQ7ECcw6HSkKsVqRCL7WlvhjzSV7wwIk2
VOiYgyBlM6SJqD8oWRZU8JUWqQQ4qBOhDH/UaWm7ZIrMn5yaiS9Rn/XBhp3PPDrUF/RnKZ+RRrgv
7CUc3i5KSjGEJdNukWeGz51S/Fy2/fRb2crUN82c/gYYZHhRREyfZxWtf71fhMfqajIAKBSVDjJJ
eLVD8llekrDrW+2StAr91JJf0kr+KnIAVKWTZ27Lt7LKY5czU0TRim4aUFa2sNK6V7GiZqnd3KAo
Wsu2PYep5BuSPCo4sPzLgd/CEPCaCTQ+Du9F44YJrhvtVrFRTZ6dK/VLOY0Z96si4G/KpJuUm9gR
MCOZpvVWjFjRWUGwqjXngECPlo3qaipkkstOu0YalKciTMbGcwIz+qDrisUbZrji+NAqQamMLQvg
KKgJDi/LqJHwviEwfKt+A7+YfDADJ/E7XqWmz+tIvE9YhlJ5CPq6OaVBEEjXqOvyp6jiebFRb61w
Hv1YDANgoNScpxMOD0NTvMpxKns4+zKCuXZt81tvIZ/PyeC46Rgkr2r7Z7MMoweHMjABbXQgZxgM
EPPc8773J5mTirKAJouRp9prwoBNZ05nqnqD3WuyReGFYQeGctLk8+f7YSbP4wAjDtoN6zb4qRtj
Jnej6QQvGsVbuZE3rhHD3gxaBAB58GfBzYZTGhlNot0JyPplYer2dZ9Lw+8s3X+43xWsOD9rJkHQ
UJRo9rHDe5kBF6PMcS8Zy+BL3JjjT3Yju7MkT9NzNDSjj/fTW7kaMHqMtwggAjZGBQ7ppdxQWTtq
+HUtbd+I0MCsqhAddTzzcJHZaDkjJOJqQIsXuqGsrAjrJtauM/IqdPnQtgHafjm7MGkOLPD+i634
VBs5FZ+9HFatr9sTewoSD7mVhq2Ru2aWxV6gozp2jRKNPy+wa/qlGauOnJWINRuV0xrdecMKFK+H
SRa60ja9mVImQbfPgeAMreKv6YhGY5Wr6Kdec/3S7iJjI7lbESMGFJACyHltXJCFOXSy41ljhHB1
DVCCIIeVF0mpPSlra8O1rGioDT8nMAEE1BjTT4caM7G+lV2faTeop8lL24mejVZnn7dVEPt9Hhob
QMva1VBWz+0T4MUoFg/plb0My8F2crQ4uXVBjYn6WSj0u8lW6YaGzhq4SANsZFHoNWDxB7xcxGFu
lbQJxyB3SajS17wCfBRzEZ3er5mrVBB3BRXoBjrXgWRPM0lWJJkl4E3KOC13ZUDsF5ER9Q/GwrDK
ZwGRsAHiCirnUniPSh2h9WaNBaikYpAeJtvS8ZzH6Kv5IxbNyw0XuaYVQKjmOgZJBbcXrCNksqpW
wW8ZTfO+a6a3mS5710I+5coyLjcEtUZtfh8tRqgAE6OuO7xckdexxQoYdzWW4WWuKnZaJ6G8IMNQ
vJj6qd243YrI4JGBRDsEL1dFC++QXiJp0Q+YPnP7rijQl40I7fxQm8FWFrGi7CAxA2PAaLFkPh9k
T2pDwc2oUbDjoetk5meYHfBlom3lKhVU7+9XxBUugoloTWJIAavTS2LBYA55E9q5azmRyH0cp/yc
V1wEbmAAyAXyz6OHe0dEbKClyEmQci/D9qTtbIgGmrtxpwIvMUKf00ABqRXGjgfV4A6D2fv3X3ON
p0iqxQxBzzjTzIY9nkZNbBSZwZFj1uklRTdxl2YsdBNOtwD2LUpzbNijZBUYC8NUUO4WbaO6C7jq
Jt3lY9IVnkoKiPL+i62EGmdeaMfwJ0YKkCwcksuayk6j2szdZpias2kUxpvJChy/FHW5MwZnvJSl
Cj7+C0TxjrLrESRUSwuiVeb0prJZ7tY9mKgwCvJTNlo/RVZenRKrZKd9HfENmivl2TzrDo9JUNUD
cz+8aG1Puo5ZlbuolEw3jPJLpxjSj2MQxXhNOst+FRmpfGGQ6oL2Q7bhbI5z6bkrBBeKjBoDvkvj
J1zLgaUqd1s5mG9bmo9uGlXhlRGU7avJNoJdHZT1K6OoNyLfsdeZ1RWWgjwagMIyHOUNd1QDfNIN
KAaH0NIIdzGL6dv7BXrsBVB1SuCQGCsDjraMr53MW6VoBMAmaKNfwynqIr/BO+jzUx4M+temFeHV
/RSPGTrXuYDUpIUYKJZ+J2oyIyIVMoisUVnvlioXb5x2SkK3QlvlVLBcuDIPSecGRRBvTS2sUb/O
4k0xbyCJ+fM9I+0MTZTJkYaSoohSXxowTGD3Ouo9p0+V6ao8mHq/GEiRnAMsNr/ef/tjJ8EQQzAQ
jrYEo0BKD+lb6EggTYaToEPCLvDnKil4f0Yj2z59MCVApECG0Mq5BtgPKaF2oM6UIkrmgSNzP5/s
fnSdBD39U6sTY7Thjo6tlEGP8KqvedwNjmHB2Do2knhoaoQTmpZfEED8pI8T30wCIHBNrs/CbCw/
Fb0szuKR8Z/vv+yxsYA6oPT57eYSr8JZ5DtNa1lJW4M6JsfiF2ZhEVfEOX2wSc5U8NIKJL6IztYi
EYCF2JjS7pEh9oZzGY/8dWcPxsW/cBWbzlaPaU9nOVdTY9bPwFQaGNlPxRsMpQcjmtCk25oFW7F8
gNsUUCXeFIbkepFFoX8qsj5vczckXPhOiZl6x8zCC8z7DZe23RgPTkkxcIZdafTJsLJwNBFWh3TU
5Swiw4jZLu3s9LUA7rXLwoG/uZ+Fa7qIyUtyA1hiLv1Q9bNYEdRbI2K+7OsLEpfcA5iQ+XTs04ui
rshliX77W1HFxadIRsWGKaz4GKRxYClQJwzEL2eDRZp0GP1A8h0MoUHdEojiG26nEjjmIKsPlBqi
cwVX5QeuwrHauPxxXoAMC7sSaPYAAbeWE1PamDAoAfjFNSdNPkEYynJzCmP02ihMa4w6Jsm70BjE
v+BwQBjzBRAy3M4S+2+UqsuwQxEwmmXtGTjhRWdP0S+mbJON3HVh7rA8BxM9pkQBAB+OzO5QwEEX
5ZnDR+WTvha+aaf1mam7eMODLkG9WzI2/BlhMPplrYb9pYwoxpQfo0fROGnrd+Fk7DSJDa+0avIa
/cT8MmHGm2AIhtMS3c63Qds8UJ2PjrFwbrwgfYPkVvmqqjJ3ELI6Q2LYn2mZMT9xpp22WOPCmgG8
YZhxd78xLSLWNXUM+GFixQSSCgTnkNeVVlrFslW+HYbtpSitcUfCtjvVqttqM6yJdZ/UbNd7wdma
mBxF1im/dRy1a1hq+3So9YZYF47v+kLODAzbyObmv2/mkIrRRYmIVBz5gapkf0kwBRt49Vgk1QUb
Y4e8l0UTPDCbm4likh7WiGUmbPnbiySWjbyshHZCvw+i8JXAeJM/I1cbyerK1STwPIo1COzjyGWq
3GJZJDAAMPnOMNrZi9ZMWXLesEzSc+yF1dgBkgU8/v0KsnA411dD63Ke1AJtFCOH/NSBDCI1cuVn
A4kDNICLVk2enOrerNxkkIPjNXbU9WdhW6Lbfj/xI5WZX/01v0IHrg73Xo7AV10juRHk3BNlE56T
Khg9C4OvG1QWHp1bQNEJRRqFNi1DL3gR+NtUYYFFU9ML1Rh23shS/WNcDs7OsAZjV4+I1lle5KeM
TuGGOz8yP5C20XzGPBxFO2X+e132bcKJNQmSOGOeSXRkvqGi6MqfVdNQg7uYcambjW7UGr35JVGA
+FBsYanxkF408ZQGRkG9MeGdm/aT7WO/MPVEO1X+/bJbIQXs3gGEjwEn2OHiagU2uqoEIzVegKpj
F5T55A+Iy3BpZbUhwEVGMAsQUxBoseOPxFL0QkfjxCrNoe1xq5roF1GQF2dGMGUeNWT4runQ4w/6
NvbibGAveyb6DSEe2eVMHq0RJHWY3IGmHjKVGo6DHDiiHpTUPjOmhrrcqgBME4MhP9Dk7f2cPbYK
/D0z6EEjEKOniTmJQ3pFOCRBHMCt0TTh50mad7tSRc0GU49vdUCFLqwicZhjlAkLPHT0pRfalvbS
AZN3ZuS87TomNvzMGjmgs/NwNhYpcL/DS4kc2KmyrdCHEyN5fFrwalSRF4mUpa1r53yk+W5sUsVP
H85N/KUFgAHm99UBwDokHAFqxAw/NTxma+tTlKCNqesHjgNBSFirxVA0EB10gGDxh0RSPaYRXhDD
vRHX+eQQnfvoYhQbCNyxYmABAu95m9cyJHLxBQ/jrgvCPnZin1J0fYSt9M5Qyrx4KMNAZcaI0BIF
MLWEpmrN+qiwjdgvOEVmhpXXU0XqLX04dh8WXCJKXKxoouNqzZ/vZQuA6oORlXbsG92o3SgiCG+9
GZ8PAZr191/oKMTNE03IqfDXnUgsCy1DXKXnLVulEr/EqtjnKWmzD0KE5WkZi8GvbW1chgBRN/R9
7X6YhGDo32IsAKuvh/erJjA4LMHFWEUlWsYYZa9pLt3BMPsNS14jBYtCfEG9AlxkoRYijTqF1S90
cCbW/FhEOvN0Z5ufOAYMH2xM8/YeZpCAqM+w3kLPyVSqsWjtxC/6SZ85dfp7xayt0YNjeUEf5nf5
A2KadWThb2tmYkUdm61QQDn+1Opp8ieDRy+x91q/IlGRvsono9rqjR0b1yHVhZ8IrFFjZStQPjO7
6bwrVHOm646e36+Lx7kImppA0BA2sYKO/uahWohhVElpoCgx7Fa9yZJ2ckc55F7GC/rCjOIgc1Uf
sHMeNcHV/aTXLogghsqWIgfCoPUh6WGqC8MYBtRDljX4VkuTl0lDtpCkVSoAtdHdB9qLhbVDKiJu
MfEUCOVL2nWnrNAJZsjMLVz3WOVR08ARsvkVDejFLYoqLUmWm00U+6SdgvZM90VNT6e4SrLzMqNN
s+ESZ7Xeay7iGiCHhRS8qQFVFKrJw0t1Yc7LcuKxH0wlPwuTcnqbC5X6cTVjVU7bORtqsmICQP0w
gjPj5kiPF7KKGs6NTvaxb0tkG01jomclDW2fo1BpTjvMlb/sZF1nu/tVZIWt8McYugFVCzFzIbzG
mJOvsov9EMHnVOTxdBGoFpCuRjG/tTS/wlQk/xZacjA8VFULpjo5GaUTlrFfN02osX6G1M/D9IFt
ecpy6ug84VplD3bLABrxptQ5wOF9FPbCt3DZ93XdtpmfoxnqAVsKPlh9w84nprvP9zNzxRLQuIKZ
AyhGO3c5QdW0El2AqMt8zNFLrzM74aWT8+VfIQIkGjgHVsGW5TAxixDzfE3mYwC630U5IX7eO9NG
BD3SC8AnCGPo+wGzmQddD/V/QPGG5mKsfeyWl29TwO4+qav+LBpN6+P9FzpykNB3MTfEkCVinWc5
3ZZXeTUPV5d+rAX7EGAyK7hQ04glV18HFXF8RO7ejjzeF2Xya9y3DttQEbRQj0SH+gmjkkiQ50kQ
LNMf3hflXIKlz6TcjYIk2AM3JpbS9E2XTnWYeFbG62xyLZVNqeNif7KOU5fYGbESz0TrLih3jiJm
Zr6fMjZGVyrBLAa/6FO7MH6OZA6E4mMwJnEen0ujq40veRYbge0ZigRG7Kqky5N4R/qQBMyLxrwr
id90aPfGZ40TV+xDNxSOoT0rivr5+9FUsk+ljLLmd7MhRf9xopPFXleZrLIvZcKb1qPtqMxdbGhV
xm5sNnF22RaxuiQytmI0x+Ju/GWI8gYN8rwNq1ieUq7y1hvNpOsdFx02u3pF0vltCTGLUvtnwDuU
v7CwS0m+ODV2n35KUBCy2NVYizJzD5zJpN+lRtzmOLwegsuiirPGQ+c279+bo2FhXVI3cRD4GZrk
iRePjVP9NHBWxT9WWhjsPHWcAAAh7qLFpzIdWzb5rOwHKc6rcgontmu6eDAaLyWpw+V5FdVGf9Zk
GLVya+T8Q7QzR2VjmTZzSidzx7EIiK+jgI3vdDuZ+Ze0yC2qzhq8kuZjWaOc7fy00oXxGvOyOnjd
KGfCsHNr1gqFSlfjqBYmS34x25BgqZVNeT69L6wCM61OiFdH7IaalI3XSpHGb+v5PTSZbzCjdT6K
YJT1r0VbpVHrAWTK2/e1jgG6ul0ep1WEUjZwzPOI0WZ4Z6mhSVBFhFNbol8ZE4PHbkqrdvpoDTIN
f1LC7krjFG8Q6Lv0Im27Nnoro7boOhdrMzZ/2/dSp73bpGE/xt7clUWOrUZr0B8riY191F154TQ/
TyPrg8FVnZiMt3bNwvQzR8SmoZcZhh3W/tRXMbXR8Seifa+tiIivdJp4mACUrsuIeFHYyTjylN1V
Zu2NbYkXLPmho/sQ5GHIzoc4GDPMrLeFZU9nYyjy/JMtEhInLuYlovH/c3Qd3XXqavQXaS2KaFPg
nOMalziOnYmWnesgUEGAEJJ+/dt+szu4jg2Ir+wGeovcq+MPaqXLktbuVMTHZa8hg7yQrQlb3maT
XouhE4PN97Ud65ixr23VWYGjzMoNtgUSQpq81TTEDZ516uPqumEiS3g3vInpzZEZGn9Rve7Dz7xh
Vr/A3eplXzSMHB1sEbFq68Qy3bt5DMm9qgcGwz/A+PgqCdQjtp/3Er98PZbqLoSppK92qvd4rtmM
CtRBdrfxpIeVKB3I1RIkmNdWLzSEd00VXtSzSgJiGtpKJBESET0RvSa3+Zop03TfFHiT9NwSvrlT
wmvAgG3MBLiA253Aydl0qVN7/K/gBCxWz/gGFVCbziGZ6RkSIV3DMZeSGNJ2SqI+3qGwJNPQwlXO
9F2WDQQqVeT8QJbchrkexEexrN6MXTUkMXkuuUF4Alw7gTVTGy0kMnuLAlvsf9UUJs5bkg3Nunff
eohtu6lSuVD7Q8xJIdfr1Upu9svqYQ3eOoeloCp7k5esuNP5VKod2UUj1/zaolpP0EinjTVtjgyb
ossoIUZ0437UJruOuUL5+sVkEfb9WYt8Ec1p0011pL9WNmP3wXRXF/n0zUmS6t7b6P1tDdHQlp3M
EOnRHk3Y09O2BcQC9Q05pvVRTUtYrhbkeYwTFIV2FlOLDMWj+a9WGTiPs51C+c+a8ahu00RsyZ9q
zLb5RVVw5EP1B7EShIcwks7/ZTlqcps5TAvd4UfnbpPSVOwlYEHeXxM7r/Ii5VBmt1uNPKoO5Sv5
rKxCwNG4B3O9sigvR8FShEQcy5C25XAM9yXL+EMD58E5k414AK9mwPeoqtmKl3oslDgBblp91oL0
nvlDadwB867JF0reshzY919c05i/2XLaAAvshDQX/FmgHFIu9tBBhyDzC+TWibzdgmZFXx4Y0zsx
Ndnylu9ZTZKWKLWYO1KIRj5nYpTLXYoOzB4XOvpwh3pn3iJNA38ddLOwv1Uca/U0CVJXT3ZJYvMG
LdAyn7eZjFXPU+PCBbNqsK3zGqLR00IU+5qbLV0fIVsd1dkPo28+cWRnnDmWQu7ytJaZ1v81jE4l
jIUr7sNpjm7Nv0bqgE63ZF4znGqckcQ/FbkCPUV0sOVPHeISbziZKKz91DMpXtlQ20Rf0WMrt+qc
FOvg0yuPRYH5Lh71tP5zdTiSLyfooo+W25TupNssodlntnq/53DQa1/GHg4Nt8kOSUjD4Num4WMB
r8bMv1WpK88Xv3Vl0Iv+qnaVJLKd62WDW5YPmW0+Fjol5rUaqRoxMcw46LyFMiyWWSfmkBdQpqS7
shqFtPbrpa6dhAcdvMdyP5LiyFsIZRAZVM8e9RzSg21/V9CFri08VOOO0piKtBPQgUBjmc4ERJKf
R8iKEjHS+tUPIE5f2UHUf4M2Uw20UjoBNNikrykBYtblOIt5Vy3Dqv5ue6yfIfBCx25Uwv1TqQ9/
NeD9YneC51x3qD7LW52C+EWDdeJ9g6jnWYZ5+q8cC6uuzOzzJ3Mc5ROMp4P9f1t4H+p09fA5buWN
Pha+/8SkUAOS5kWjLktEuMUFgSbMnpKKUd/lc7MWV3FLIGuB3Fe9zmmFhxUiuV7XkKQ9sFGetNwg
8aCDEA9xBMUi5XSeyoLdYbsJqjVKxo+RoH9fG5st9GT4dkCCba06rUsqzmUdUnqmiR4uWD6QGmKC
MAlEbWzhvVF6TjoH0Xi/gr3YLwfa23sOLabsFoYe0xXC4aGMQSIZyEHVaruwHru43kZXhZa6Gtox
pMU1AxKE/OH6MZDN3wyIvQjtNOnqSqjVekTWHHXaJwRtqE2/f1W3z5mA5iPdGe3WdC5Jn/vMpxDZ
DfwZ5S77veWzdm0Wmu0XnarhVzF49o+D2XlKV8Sf4I4Qkpz5OINHSqo1wfswT83RNvWGYRXBMaa8
M0x58TTPUW+XjG6TufYzPDrnPbeZ/yXgNF96ulRkbKdiO0ADzTia5dYoemKhTuZuws88fD8HIOFB
zK6zjGVZhxllrnoaMYtAlxgUmshUKdeWes8+mqNQt0M+R99D2TziGhJv88tI4gJXeRynPzMezdiN
hyTnHM7vAn+thqSoKIyG7E+JrMOyo84TlfhPwLCYwQdRa97mUzq8rmKa2BUd2JG1FSYVSDCmupm7
JpXmQciy5ucqm5Bp02x7ac/5vCWg9JsomnaO2xw67qDsbUmRcopXXyXFKe7KPB/VpoqfSgxT2h0l
mWyrfGW2VvDF+/uiGgys1kPeDJ0ejirtZzxP82OJSXY1D5MqrudceoYfIhTTZbWnsc3hDHKtrSyK
2RZHKs9aOfKQQVo1f6azCC2pUTPbpfT70PNhwT+bi6oRJ9c4THxlNRYDlOK6um3kVNELZtya7K1s
tPgSMffHV4nglTclDfrJxMcx7/XWNOvZxiHBtaSb7jAtUUQ/HpB73DC/Fq9ZEbb6RjP4ADqeu+E5
VoNOWgPl/a13DMOlOw4MeS6aJuvLmQ6+Q/BUg9hF7sfHsGTZn402/G6Us6KtTfLBohg209hp5lAY
j5jSX2uWhD9kFqxpiaNj+pztFpEFBSQO6k2siwM2Jja76x94LUNE2KJH5yvZmJBHjrn2Je4E0S7J
nI23c1rsTTcjYhIDv5jF0A8Dr/MrPKrCnePOjw1HVTfPDnaT6cT8aFk7gKPmV+NBlvIsINURrYON
qTozywAHR8IUb/ns0zd6kG9BFNyc0xkg5HZqcgc1KPOcXWLmEuQQFcOgLgTztPnNp/xoTV2JsduG
HbULzEYlVHvAIqmuVvhdH4G9ZbIHf+TS66WyKRxiBDsL3q9yJO6CJE0/XWlar+YWswq2NoHHMiHe
r8G/k0x7sfWbp7DDw8DCf4PWV19ZGof/uJmP/xD/wj+OQcg7XUCbd86xpT/GaRcvmhHp+wQH6m3P
dbJdEpHrl1WQBDVTpTE/V76UGAoS1pC+wECRX8rUp+I6l2p7Ac9eDLHDvo/tLVqdP6/w2IUTHEim
52wq0QsIulYHGS/ysZik9YhhUGNBdTIvH8HKI5wiwszUnKHRT9YzqdbK/5p0U4trSwXGYeuS6hSl
Qx9qt1Hn9mSQVze2JSH8fRrgnG8hWkvUy7SHY+udWlh+QSme7yGiYLD45rGE7WZvypbGCVkBEFI0
/5I18/8SS5p/Gy2w2bqJLaHbk70AaVlv6GcQ2MkRe4jKTqzAeg7dy3dgpE/V8nEcB5wuA8+VaLcm
5n9BlmAHsk0qMCKT9VfNqvlT6UDymxzu9EualPXYAc5eF2RxAAU+w7kiTDcVDNoTzpf01c3M4XWZ
4/Cn1Ob4UUbKPhobyNOeZ/tTQ5pDXAwmHsgnbQFXcaVAOp3GaVrOB1XbeGpSX7OW72O4Pxbpk7Ok
h/+sEEkq2oIE+3fKkZOApBedlz3zWXWRyeoSADdD/NgS6mCVN7X2V05s+edx0L2CpyfMHwbFI56q
vZ7usylL/mW7On44Ahz8nC9b+eEGOb3wAikZsDTK7WYvB4xIBcgU1wZofNyVhAg39Msxqn9+Scin
3vyUob6F8HOcLWJZtjlK/jCNCwVtqpz+SuW2hu4IjRCnQKiUUG7K/ZYob1YsCGH5N5SU/Qm5GZ52
tPDHUnL7zm1Rq9bhrv2tFrveerWkmPU1nnmLDBafdlIQzIFS8m/bLt0gW0hokAi95Xz/0axYw9vJ
C4utKvDvNaEuxsc0U16fTTIWQORTJBqd3Rbc3k7LWFQXMJfpe2lFUSKfZCMPdC3wumewXVYAqrDD
9x629rWlla+wlUJJUINtIqE5HbmHhUN4P99EcL70fGRY7E/ZYkF7WmrtpZpwr9vGKlt2857tQ7tv
FQ4Zc5Q+sKXmr1BeyJcj24EDYfHbtzY3zZK0DAkMZavK2j8LORRfbm7k/bGN23DjOcnpqakxxJxX
r2rbif2bUUlYOlynSyXt2fumeUFPn8feFaO+neDwttfrLMs/s8vJvZ9ILM5pzfnvAQPrflMNa/PM
GxY8vI8CHgNgLAXrAl+WU536SlwtKdVTN1BD/6uX3EMEpJm8pXGNr/TYje3WYis1Io8COdqAJ3NR
oCKPs3M8vrHBB3+HalGoc5OJ7KRobY9ugWQC46wZsNwxXDzuTmjCG5bu/KUQ+fBTrDD6tqNdiqwd
CGaAPhMh+SfHSd3C7vddwoFelefVjabq4KKxj5UNDuG9yHbADYhH2UXYsh6Q65b7jptY6tbVpFxO
A8b2oiOSJteFO3CZDUwQyIJUR1W1eJ/pXzB87Fdi6PabQk7/BzRBuB3kPvnOctn8rg83/wckUD6u
u1GfUxHz6xmXuXZgybH+erBESMuA5h86uKNh17neZI3fuwecKMLscWJJ7rI2pWzBnUXNAA6SFduz
RLgHlv0MqghUz2p5dNhSjxZBvlN6awIp/riwFfdVOa0fchT0d16BQms3Ku2n2JA81XoJ/LPb1Fwq
lL1JZu26b/UHGGYMyTtvhrtYLH5tA27iPVKjkxHWKr/fmX3AkJKke9oHVskZtq6FlG3A3vFOIM16
r8eS4u/ODCwhEG7MF2omJtrgVo8VCLZSLP9xnJcLU+S4Z/V3AnUJKta2C8+qodv4XO8nTE1Bd3SL
0xtk+uwx28vDtQr7UezU8D21LdTNV7pEJmHrTFnN3YAP/oSbeg3rR+YCfSljQ1G7SdRPs7b172LI
03DdiEG8GDvNfy0k1veIj5jDeSzHxrczUjDeEg8gtc3QgWH+H5f0WTqNFsA4ojNRYsvqyeuk+r3n
BqscVMT0lTuH1nHMAa6fchVe3thkym/lhiUZs28+732uU/I21jOi6bAzMCykNUWY04ap5U5FJIe3
hsrFtXjFy09CDjmc+HIg/GjCRtzJQYgHnWOfAA4ETvkiFzbdrRFBCRdGmvS63kT1NSiqb6BfxxQj
HUaM1Nb+BchytfSQIbOj8zWpeV8XBgJ6CUAMcZnwzd+PIJv+HtI25dnaOTsXpcNEr+0Uxy5b1+09
WY7msYS4D1p7jUiSVhRKrl2D/MdbUJlz0YJ4G38OSljTGasziVBWh9mrRnBU3tp8UD/3hlRHpw6T
x87S1N/ReggNWqEdn2sk8VatMnasznm9p2c8YxMxucHqrLKNvENcBLs7TO/Z1hey2O4k3HHHlQBL
9FKRY+U3SI5Ec+QYq3mLWkSuGp54d0kGU1X9WtRwqRcDigwFWHbDUhkfNiuX5hQ9F7dBh7XAAlaE
vG1I2B7Go0RX09UAGlPuq74aKxBFpwjl4VvBTPxYGp8sPZ6huNu9zdK+OTYcbimY+m2JMJ+NknTo
Skwof0EyhPupOizvsTPrH9YHIh8TRDHY4bkxAIF7P+cWEfBsH9f3NA8KY8e40/0HZdlQ9rWul/Ap
Ikm2VguLt4DUFk8hwaiOzXDLRX75FgDA4jyuzd+yGFd9WtYtHu8H29OfNYjDq+ASjhcnuv1tVkfz
V+2z5Oc61foV4en09z6Tae2OnKj3ZETXbRNs3L8imRoEL5XNfE7XEqe0KfdDnsi2N/XJ78yMVyuw
7q3NNE3j3SAbzCwRa/HPkm6AF1OfIRkgB4At+9GI2reIK539qa6nWQDmyNVP4RGcgPj0qEnrV+7f
LZ0whmZVqquTkvhj+tkt+NW+XqqtT2Lw9xieF+yyQYalU0D0xhPc+UoBUzPLBwmurIe/Mn5DCiFZ
lqd6InV9yhDXg2HjWMLRxbHQQKaq3SYdCT7OaCpmNd0MTvtfFqoE0b94DmN2VTSH+bOwHUmnrNqX
vAPGjLUmVPkOpIeUs7nZaEYkYjrzHOgQwvWAEq+Gq07HWDzu0yHuXEIO3Xt7YBUaImR7HfcrguT5
as1xzjLMGFDADJABK6NWAYLG6+dp3bME/7ubf6T5hLktTDFR5wjUl3alHssnJaEaaH3YDRA3oaof
iKXLq9aacv8Phni/twBDEtOXeMymVyvhAKxMMzy6gGCcFkCJSC4Oqt2jLzwSOoFDN/WKo5PRe8nY
9gxSRWG3D7NOv8u3/Bg93VGmkeGGHx8xTbeEpe4li7R5MMpbf4Fcf3rc9JBmfYGMiCfbIMARmd4W
qe+6PDLQVSnfMQkkW5aS894AMnpVfBqg8ZgGl3bzrMd4L6jAqlagDaq2tnvhTyYShHcSGQ95O651
erUaY11rwP+/cJwqC2WNrDmwCjoPKMYjXqgRWpmh9ZB7YREti+GyD3kde4QTG1CZbLJDWyN4nHXl
zvwH1dImF44t9RqYav4wV0f5j+cN3VG3Bhu6DQeoagspY3IWcRCxX1nmXo6CKNKm6Rg2ZGNQWYGE
GSvVGWUg+A7IxvI1RBd5PADzQg8rfhzIUCs68LTHgmn/qO9BEq2/GCRyCQh/QCHIsz0iUL/UgggY
jyWSLrAN+tF0RG+SKZWfhI8RoCRtxAsDQ29OqiJN6Aj2g8fGT5ic4C5aeZskWwTOHKS4ZnkGX6/1
oGXaAskMuq8wua7dDo5P4UnGGQuAp8XaFZOhP5s1xV6dwnT5DMonBYSxpDsGoX0XrRU1OKlQWfO4
jxh5e2Ryi2slOGYMNxC39O7g7jNjIZGY9w5zNwkl0+vMMvKyRpo/QfsbVVtY1gBhTfS6nhTYvvs4
FwDA+FDYX/8nGdrGNeYr21f/QDSzr4TNizw16zJ9FblAOzXOx88jkPUhD5p/LTMiPLAc5OzBBF2i
BLE5e3WSIrPXAX26qrI5+8t2lDxcKs4YeNG497vX659KEwDzMTokbu01l7AkI8oFeW1TcUKfow9g
0LZnrKrRdPlQhDeIpMkfDWYCjazhfmvlnpLpHoml4JMGu7ifJtQ8QO8f8ekDk1Xr15ogswXTevlF
EOSYdFhG6x9ZdkxAele//SJeYbLmdk/u5fRdaTzn7EmjfdrusKm7BTkC9y2EzBVp2bil5b0vIi1B
zSj55NOAeRe/Uj9knpSINnTod3XlUKxWfC7tean1tNxurMo8CCblin6oJGBKxGjX2dW+UERlFUhY
KXqb6vAPd+i7WGHUFJ0BnPqaHhxgqdixbbUFBewxIJqkuEITTIFrKwYiPItqfhLfSQPnRmfhDmUv
11g/MN63ZU3mf4woSjvt+YJV2OXz8+Sb7ejAl4/buaEaoS+ZH9OnFSNI0pVQ+TxuGP9XlIOag3yC
fWSHM94nK4bswSMBninjWoFaB3uSG6twTeEI/KqLaaKtSneqOhyS8Ob2ibwM6bSOoIJXfMxHMKC1
Dl8tEe3unXksEU/6d0XneQDSnD4is3fOHhdo4RkgOyXw+Y1vhthPOl1/MyB/yWXKw/6oknRTt6y0
MbYLXq/yDDMi+L+JfIcef+cNn9S2YZbP67EZoebZyNhBYss/tQA2CxPlioWWrEKAJjKCP2Zww+6n
1br1NLANFL+HlA/3N2QYKlaZlE8iFWLBrR4wK8xQg34mAsT0SW8oxV2YPE5sPSfVP5sn4ZmG3W23
pi7RcgI8N2lXucJ/AAevaLdBhHwpEX3Lr0cKefx3m0MmpjFzjvFvHoDbIYYmYx1g3fg2eZe+ByHr
tHWZILcwvc9fZXUAeEbQMwJXJ1DAv3dZuaqViQKHXwzVcq02gn9ZrW7BSEsrWXSLqIt/4D0KsB1Q
EXyTxQqeK003rFkIjk/+AjsBLK5R1FwnQB9md2FVyS9J6JKdCD6OM3bHKOtvHJmBjK848N8eWXLz
szjy8Omh5HrHBeErLVg2pD5VcIeUHV3cZi8H8tNvAPgkRzvjCP3EtKRlP+SMJN1cR5JfQmrz96TQ
4ytUqvzPDmz2HXGeKb+Ap1avyzQWX2ucuW8x9CTA/MHNfZp5ofe+qZdjPRWuSf9COG5im7EJIQD4
GgUV14mQx28dh7W4ybhma2+hBsFBhrHzH95HvwA9XMATj04GjHhQ3iynUhBuTts60tsNaROgm7ym
XyxXQALSuWY9X4/yOFdjhJpw3IuEYGOYyTbcD8WkcM1gBkjncV7Ded73XHYKz+5Gp3MCLhmGzC9h
DvtkdMRQS9jGii4Ars5PhS781JlE5sltZHJlLYKJineSeTBCeqgze56wwD5XgqSmawpCwvW48uwF
clgkAyQpx2xQzchwmW0KdGb4ngPagTHzIHVuJIr7oX+SFfQYujS++NHG1FRPyVa64XwQq/5UBtNR
N2qA1a0kQ4F+lknzYhdf/AfPBfAZLfa5alerYb54o0gyTO/zELJ4J1Y6kjYXDGiTG4rqAVpdI/oa
fTiCaq8XFCVS7LDXOaRDnAd8wEVemFyq6TZD+QDyzBebnvBRpPFlEkMA3FMcZDzN0CVRwHkZYGVj
y9hlYYd6OBVRvMLXVapWIc9iwI+vsS91Fm2LFgmOY0en+doQokt7MD7pTXkoJpBh2ZQ3paiJB6B/
+J8ct/LVxAiTsZ+ace6IQO3rHM84Iof1vJgzIKHhcePf+RzyKNNXkvD9N/weeP30ziBACcr4ree0
3mg3EAMpBmV1dr1NeP8+oBNAgaSVBtGV5Si2AmMWXk6draZNR0AMCDeBOBK5iRuW2LFcLL4NpNL8
Ii1y39ANKnaiHktES0VoztpZMt0V4WBlW/vEj+3gkEzUSQ1A9aoOZfFlioX/1igpHDeh2q/nFCNR
X0MDRZ+jkPtdoMk83mE6K+8Ok1T6Ujjtxq4oFEQ1mByA1qSpS9deuYwAgIkDDg8vivndhR0XsuTj
8KSwdP322Alg8SEzAg5ibdgvUQ8mwE0Zq6oD8A8aAFTvemsMxpSzAqYuOmnCusM+m68/0v2Y/xJJ
ivHWZ2VxBff1/rd0sjglGd+XH4DuwXlZmCIDitJS/mucGv8L4Fa/JNDXV2pKSCeYQaJPl4sB05td
MJr3ozP0wULuAYUYOFjkKLngQTk4KrqQIYYcoZvH+lFNM4rgzoGWo5PYau0mMW54FEeFo29ro2mr
+UZfG0iPPrhM/WuyVPXeqkz7D42Q6LSfuCNPmCciFCoL/viqVr8o3ddX4eekaVGr0wkeKOhOoByj
K4aWMJgRkUeljtjd4mbbEQEwgBqQIA+Yy1Rr3aa7px9FaumvPKn2J0qwoLZb7ba/WTJozCNYgkzP
QGteK1wgRjq257cjRtKyk6PbZmhWkFuNsM8cwbTOQGSBV1+ZC3oh/6zoUVjES4eYI+dpGcuekqIa
e4YbmHaQ5VZ4VxnOQTdm+QjZMjLDwJ8bCLba75oM0woeMG1XfFbqTteAO8HICfOKgCn5n/BunaHC
j/JBS0yep+AGA1oL9K7qm8lRf/YTaO3Fl2rpQiUorozBJXqKDA0G3Hjt/xiRiA8sBPBxj4rElywN
CVwrZDle6BCm5yy4FKBReoCFQ/uYTQe9BphpWdv5wVm2/FA0y3+tGpv+E2CnnHYLlFd/Apx178Mc
1M+tFBixoQCfoAkbWf7KizDDgR/G/AcBzc2vZj0sH9zN3wpE7CCiPRDjZi97ogVp3d6gX5CwT6CT
QCa+lCVELRNHzGV7LNp+ORgu/pRYQQfMGznezxxDAqYJcFzNaS6P0XbLFodfqU0hJjJgdL6/qsFB
VxTzgfs8KsRPt/uepU8+P/yTwsfJDKBLOn1AUYclJFj3n4eyWLV8+z7F20bH+Soaod9mEMI40I30
Y0cADCQtuAPetACdAEXFUvB7bo2uupVmK/rwgR86L5zuHJ/34ADHZUKCvKKKQTi0Dd4+DRuDxGL6
Ftq3lB48QI+2kzfs5vIhLwB1485P5MGsdniEnQbhuSzV9DpLLTDg9VuihBeuKBAQKea97iuAaq8A
Fc17MhxZcaoSCVzWrWP6A5pJXXbwlQC4wr5WgpWe0ip0qLMQb2D00k9hxydierLkeODcgkru8QrA
5TFAsfdGeG58n/OQXB0E9Dtq+OA/alOwlwJTDO5TSfbPNI9g+ZHgOeIzM2kRsKiTg7+mbCzYDSJZ
jwe9IDHmjFcBhQ3SPPTKucBH98DAumXA5J6vwJuUKdEqwrzeEYra0lZ2sKK3ki6xJWVgD/BbuGeX
1fbTUUvXqxSZIbdagorH5DYz0JK0+ACOd6D8VetwNedw2AOLHedLcixQ9nhKzC0udYO0oco47wIs
V18jzg9+AzLcz1uiyn+GclmeyOr0x3d5wJYGzgNZ3pgkrivmFWINwZe+L/WRwu/A80GjQ5Ea8Aww
ih9yhbkA8piS/YiVxBf9IoA4aBF4nF3fsHkwGInoeBMLDQTbMOjUAWBA/XFeSBA/RDOjeapFHRmO
z5rfiAKcEzJvkllihyrFc2L99PeYY/WHQw8OQSbPk99bXLAUFRKpO9RzqG2GLIHHcNgThrG8dPlv
nMLpDlL8v55tculybTDtVSPm8yrWGRIhtUyupsxAz+QjSE4U7Gnhp6nGyN46gk20nUDXQWzUHNk1
RDm8PiHpDt9mKjXJPzTEcKhWOdrwpF1yxbcFrwSA/+Zxy0z+aIBA654d+fG+ZOiaOHz0+Mw0PjfU
TmIqb90G7Verm3l8PQLoMmBSR3EPD/aBEw5xJT/tEPatyIYyFNt8JcBilGua3ODBrdBqCE9eROMH
CNm+BYhzgS8OXdziRhRcpt9XmEjfjnybf+hk9PnVJE1y1sRbekFxXURX2dlyCtUEIEF8Dgh4gnQ3
QoP/TL+ZRGjq6raCo9Rd+aZQ4BvUWG6oQBnAXnwoBUYHZOWD3na5wPuEh8BW6Jjs/zg7r+W4lWSL
fhEi4M0rTDuy2XSSKL4gKAfvPb7+LvA8XDXI6A7NnJk5MiSrqyorKytz752aTuGjN4/JENHRrFFI
jx8hlZE9yMdEN+gtU4PPJS1BtoJ7I2y9vjRSZUOnIFLacafUL0UsD7+HnDsIRS4qzm7cTtWTYUlC
egvQN7qJ8RaZYwzLq4oaMx8CuEwU2Aax1ws6pMINrEXK2MY8xG9qqA6/qfExap00ieWSt0rNU61m
JITpcDjzHkD/lqprbmr1N3hwpXYTakX0BdBB2xJw9WUHZCYSwIyMUFkSpy5BYO0CUmrNLXTa5tgD
NO8ck3TXvKNDYhmFJ2qto/wMwmL+QeDVg4cfDdVvvrZBAhXEq5HgMvYCpfw3VL6HlzFQxm5LTd4s
XItXMRiLTkAdkvc1ye3AmIXvFpJoyHaZunUXdokVggYLTYLronhqKOMDrBIj8YcAPCJ35yjRfA9w
iAU0iqdp5qoNGCEq3csBULsJsUI5N/vKMblTdCJsA6QZlT7ruS0q82HulEGkWDkzTRjK1Rak7XCc
+2Ym/TbjGVwKI91jAGi6oz4kJRU5TTP5GiGPoLhdUdSo/oACJMhMsolccaPhcmop4dFvAgyRgIy1
bQsuRQgTSgwCZkP9FhnHpJwNf1eRW44QKSLAdQpRpmRICS7XN8iOlWgzIaVmbsjcJ9xNikxpTgVG
jmZcPfNczutepmhFs9Yngseh90IUVA+IyUhkWMRcEHgcN5jvMIqoKlRxNvl2MuHeqSOS8NmjCs5j
GsCJAbZrjqU3LZET+MM5MpqorfbJ6GZKr/4K5xwfKER0o7EFJSNHa8VggO0OZ/1Yp1X6BWCiUnq8
6sevfRBm4V4g8Ka2EZXKgxHIKGyNUolFtnreSlQNJek4ENy8VXFvPiEXbAE+oluR76XWDKVzVuT2
rjYj+TUsZENz43gU97MWFOWptor6YZhyTQS7YYJgL5bQPvOVpHZUsQMVRkQuwLzO9eZbHqa8c2Nk
QXHygDh9l8y4+oA7oIYExwxIrpKnggD4TejucVNz7yhxAsaxjFE0Gqr3e0Btrd4uxKI94hqpE4Mj
8l9gYqS7CWXV0QXwQHkQmE/1fYIf17gVgLfqQN8U8U8w5qayFQVyfA5pAomrRNTpIIlzEUxPGhSe
n6ift7+yQG4GAuok+IrGbv8whXXPDVPqwVvVTtOfwABmt0lqK/lhcUnXns7BohJRxWaFBE1sgAud
CDkdLJ5itxoKnBtYDAR+PL2Tn+To87eiNKLBlpCG/0oVlxzN0LTTsSgG6w3tF9A8VIy1iirAHANZ
VgTzVxpn84+ItxWzklIwbV1m9KoTR7HWLuU8rXfEyEhfI7RdadwjzdDtVTJ1VD2jhdPR9BZg0byY
M8AnosjmB5TtDs0wya0tGvKgcQ5UIQRlFAe1Z5YWsGvuFloqmYE6Bw4F2eqOzmPi5BqiLt5qQU6z
gUga0mJL/Jh8qwq8MkEc0KNOLnH9AB6zn8BN43t4rS04w0jOBA9EuH/f4p9ChzBf4pkWFd2TDFb8
S0nt5lnTqSOo3I63WZEqj3GqqPlDFQ8dUjtW1E872ezHpyZsGmRQ51pBBqhMW387FUr82JVKQ+Zp
mCCtTOJMtpHYBdHUWTYT0+OVJOhepBY8F8em0mtXbjk1XtBGI/7RGup8n6uj3EHHHVTTIreq4R80
peWvQ+g8P8toLgUHrbUCRYNYmuIfZgFwYotERu8fe944ALoMv38cwc39VnkasNXSIuaSB+TafTUE
TjaBgAHe0Irpj6Ee/WefSP8XolBLmnUaBxVHQAzoQcVRvsMHAemRQQ/6XkUjF3ndSta2SoeEKisM
oWw3gu985K1S0tg4lhvg8xrkoEGaK8lpUpiIdiLLaQrChCSJ6/vQZIgjDeOe3DTRpgYr4Caugd+5
ES0mTYoHHdcT4BrlqzxV0Y/RBNnrpKlBlAv7r66cSjT9+zxWwRkR+RPkUnYNk02hZPqTkMkAeTpE
Q+4bQWpnpzL9brChv4FmKg2xeE6MaHo1O1160iloiZ7kz6LghpZFcYLeUEHkJHVGaJoKSv4gma35
SPfG4rsoNBqApaIIZAd/SPqQ7nD5LZQ0IYfXXCtv6MkD+ASOm+1riFe9J6H73jp8HvHZh/N8mOeh
ACNCAvVXk0TBd5lsGojaaswiKrGYmC0rmTCBFOwX3CUAN8ABQOC/+fkUqi6IpJkyvGGWWxD2fKcC
tq7g3qP6RnAMJN/uFHTSvKBujbs21oQRV51KGrm/OH6pyyR6tvzEuqdsSMZl8P1ZWBJcY2GbugC1
ZYxUwv0Jz/ZG0MBTQwZlabcFZAcbYpX/Qw9JVWwaq4pVdwILYYHzaqeDOusZWhficsPEYpVGntqH
pGVTEB2KJ2WmcVrenRpOpZv3TdEEteN3Pbk99Jvk26af1S9BghezEbiM6EDEs2Rj1iXhDOLN9Z8B
wt9tVGWt7Pa1SL08MmEVsNIYpKO1VZDa/TwJLxAQ2eNxQhLdjGbpWRkNpFoqcJcyqTFCNHtIChni
TZJbD23iz5rNYz0kaPAliQMhysKXIVLmL37UdxKA8CXPjBhc96bGjVI580AexpnpQOEvuoITBTdy
RvfZVAYC8Fme1fakGNIRulh9Z1oBgGNDyojsA9VoaRZllcOIp6c8LzcTpd55TAZ/A1BUDXap1FgP
Qh6iomFZVOxvlH6gmkE5vHF93H4DxYK7fi/HqiXYTUsv5TavBd6iLWV3j8dqHkNDjIviQZ4kYAFg
xhpINL5IvQuOXOdVYziVbi2OkuqYMxRoZxS77q1XBmHwhq6W4o0VWglnKrR0Ii0AqDPwuSCIXYmU
YPRrDEjMeN0sSL2TFRDgCcymBMiFVcnRAf0xKzsOfWTea1GSVq7Szyk0rQKM3QnKD0XtDp4Ci1Ep
2S8pyaVmM4WzP7rTSMpqE4QExq7EKtbujBMntoipUrGwaSlIZIVk/zGqDGKJitYXAkDPniBk4qz+
TvORhuoRvI/Hop1QeFnaABxpiNC+gJlVKUIWjX6sNOrOjjJPJdBis4zRYlR9CeQtnssWKKTcSb4E
5GUkkwoSbwCW7abwh34Vfjl9KVIpPqmg0sUFMEjumGyswUO0KP+Yfs/jj7wuuUKyh0RcsUbBpjVS
8ZWIb2gdnig5IWhfmyepVCpp66vm/BoIg3iEYtqLN5DJlF+DJilLciYFnkkvoWBPYjicqY+K+Qly
gSKB4Ve6kDI7DQ4cQECcKGOMxYeQpgeJU6giG9aLovbcNTVl5arTKe8mYmPtJyFoh+3Afj/N3ODj
TiWbsY/Jnjy0Sk8OCY2z7hZABLdkAfrkjuiA6yIVm6K354YkxtaMqpoElgyb4ImcZEoIUvQyeKk8
MR/0rAAMy3UTnKoUJLHds8rfQKj3p+WhBxRHTOGDCULR3MOT9H8mJRlkp1dGXhjqaKbARGip8t0K
Jw5zUIaTAT4rJV2RxQjreqjhqT9Tkm0ow8pl+ByqecvLV7Sq7+gM6SlJtjz9GUhVDQrCT0gpweZO
SzDpefksFSAAcLLgL1QNzWM7amhK7nKKp1dr0ueeOF4BCzKQqtVA4RA2gpNW00c1gsvgUIXSf2hm
bTxwBzXKpvAD6tyYbu2JbVAT4telUjqLd542ckxyx4vHljS2Zs4AI0MzOy0Y1MkNx2o8Ernkjb4L
qGhPXqhKZoW0XCUcm55bc5cUhbI3yYnItonAPE/4YiylUwMZ8Ffti/NJhy3a2gPAim7XzuTf7uGe
+WibCkbB2oSqVnh08WqN27nV0/Ir7wLhq2CRGKUMVIrg8/WYKLcdSul7ms+qSAzI8+inFcS9YPP8
AqPoS5CmtmUFavybQddQi5KLlWs4CYXUGDjbgCQ8AKBo+gK6tKffhgV1aaOUcHnsopvoRXuZcb1o
CfwtbkDzAKQ/kWsQETkjC7kid6fSpFkVwB8Kwqr8KnSFb3dJ1W2NZBjvBSFF7FXwA7au7dw06aTt
5eHXhO9leHq1Qsc3kbGlCnbOtYbDWrfAVjIb6hXPoRQoc7cTQQkqsDvLEzUKy541NbipxxRY8OXB
113FaDDH6LIoUnVU9EU/5Xx0+oTpGqW73E58rlyvlnwOUkZbQC/hVREBayKLFsDMpn4e8aKCI+ol
OWgTghgS3pXevlz5RGvu+foTrSRWADz7VZ2xHUGh4ocpYbpxYMkOodLXilAYx0MtvIaN5qXtoKHv
ZU7bPCcDIA8B0PCJlAN4EuvKSq0lAN4/Fk0MF9VbSfmgLFaNeOhO5UmcZwHpVrhzAcCOlGxk0hR6
4V5ehbU2xDLaovBhLOqmYGJWMinloOa0eQcJAhzY/KFGhgI8DroUYeGojT9o9CtfEdH5zAyR3JN0
bbFBSVtJXwCQbIqkoQ4PHVC+14GZEOZKYHFbcdyDnrO2ZQ53u1D0f2v/sLQ41EEa64sFMr60skCz
gIEI/oVyH0J4UK5I/0bll0zlLtiTCaK0fXlpP070fLyVfU26ADGlLCEe5uLAi3aYjhPj3oDHUMCK
V61bmVX1aGlpsLk88kfLZmTEZzREjQ36US2f7C/Jp2bSCilSsWw6JImHAGwrF29Z/KNWy/t60iQQ
s4GRQRLnfBSGjhSr4kQrg9QetAX6ZmbSgaL88GSAt75iNx/PBerbuA+qxxQE2c3z4UzV8q1MwFLr
ltusJTXskHH8BrlG2l1evo9nQkVnw6AbOeUe9H2X5f1r+aBy1fUYcTf4lVztiWDgYkEfjhwAnrCS
a9K5V9qufzqighATDHioCWv1QokXdpV1nPkyFIaf/kSiy2rjJZNYh8k9ao3mFZ2RzyyE1gkmRAgT
+ae1uvhARwiVyi3euO54r1hz2ZRuaTR9/j+YIi2I0ISXVJVdW61lBJiciIK1nCujAuvcWmCOxurK
KJ+tH3LlEuApuqCAiT/fscEAp5uEjNKCENChFlrzLg7l2hvJsVLBJxd22UQ+M0ZLtEAPEJbhzVYn
TC9qLZjMxUSk3noYcoRBnDEIDMHrUoKaK55kLVK0nDRLMURWUUU1Yt2mpLC6lBgY5nEtBdlbREEP
fGgCdGUub80mX1oSC23/9fIUP3FfXAyIkEn4Shq/yedrOvvmrGiARG00BWB0Soa/bSbyrUoWb6rU
N8lCKOpWVQA8XpnuJ7uJCCzVZjSZcC7qKlDp5agIzYqT3vid+V2GeB1zF0v9jmZl3SaAH+1dnuon
p2EJyGjNokhcSWvX0gxWC8YupZYFPNTVULbcdIJyrSv5J7toyCi66RIqRUg/r6aFXE0Q58uZ8+VE
GkG9J028VZpGEjdSLoJGjmJxOkngf8MrDu3TkbkIoLDRLBC99POt9MH9j21Gj4TY7HhHQ4bxXb/h
bJAkaaQf+HbArgNUTv/KwJ8cE8YTiS4QuwbftnywvzxpDeXdgGHKwibleGhysfdQghUeLDIoVzza
J3NE/k+hgQlHZWkXfj5UlYryPGgZ7Hy4f65QAy0btRribUQB6aEEpvySSNY1veJPJmgt2vD0D9LI
oIirPYUwjQZzzyGJJAR0xBo4EtQWfxuIsBT+2UgtMB8WXTZoe4MI5vkEY0jn5JOYoI8gkGu14JiG
Srum9/bxKCwdF0SarGoovulrSUCxN+niUdEHRkBA4JQMCXi+MO6vhGKfjLJo4/EP3hMJ/ZX77OCr
ZLlmUYw2wIiWUq6B1gn1fz7WRNEcORkNRVlE/ex8xUYx7EfCd0AWgEayU424TuEWtdBeO1+fTAfH
LKFmL3LJYQnnA1FRUoOc/Kk9DyiTRplcOwAWrygOf/SK7y1F0cuiRTzhz2o2MgHLMOYkOZlucsB5
RpMXNeA/yhHWvwfDupy+/6vJIcZLs0Yg6trSWmXlNyJg3eQPiJgVpeTJFprlppzG0b08yicTM0z8
oipyuem8885Xb0C/NaiTiqe4VVEyTEPjlmYyzcY0utApx+Bac57Px+MJQCNT4ru1Kn4vi51hkNcB
giA01P9oJ0p11Q9g2sRiXDx0Y638vDzFTwyEKdLGjFsGzf8PT2/08WGtsJBTmEcwdwuqC0U7/7u9
o8lDYkxTFq9rrYSGrUaH4w7pwO5S0b83RwhPTZxMV7pXfowLSEVpXCUGdyWU+NXZ9fUQualFPlOh
tR1IbVRZYM0MT0D2ra01mHBwk2CkhNe02fbyMn6yc4Rb6AVq9CqUyKWcW0ofiVFV0bDELnQ1eIEC
pL1AzVObTVog22HrCZCizeUhP14rNKZgKZdKDrfn+tIOBzm3Brpo276Sz1sNVNZrKlCRvBVknuf3
PgxeyS6qkHzu5YE/MRkTWU+TA2hy/tZas/S9JIBFb9DuUau6izU1s5uyHP45jmV6FrqXMoQrJL9X
91dRjnD5TYBfVmrmW3iNPiJvQm5wFNI0064Y6Gemw9VMNnBZUUBz5/vXKbTEAqfKu9Qcoy3aXmDr
0khAld434iN6hNNRI2m3VQiun/99OQ2WkW4jJuajLab1VyRiROSuA10D/Q+Y6V5C88kr0FS88kb9
zEANmTcxMaTGU3UVM6P5VCoozoNM1hPDbgAsvCojqp7gb6sdPJFm9z/Miqc0Qrc8e3DV57OakVMp
oAhinWpRRi4s91IH5oVI1hVr/HRivPKX4IP/N1dvfZSpgIWi0ICCiw+HgM7AFEyawhrTXZJpYvM4
w/y5lgn7ZNClSQrvHhaTK3x1McwyMOVyhmcz0bGNGhUUrgkcfIGuTZBl7uWl/BjJYRy8UDXeqdwK
ysq3ZEMCyxZZHShRLeQiJ5rHKn2B+2VUIwzxaZCvvere+6Kc54OXlim8rEzWlehhtXtjZoWBTmnC
tjh2mRf1rXgcRhTErKjNd75J6UiKqmYbgoykB6BAecoOJoOCYIZG3hXT/cTfWAif4NIVHd++Di/D
AWQm3aEKsDV14NFIFwhfgFL85VX+fM5/DbNsw1/nMNbbtBd9ut/48zzqdt0t4lq0ilQ1J1Os9qRl
obAXB+prZopibZlSika43KQrTyxe6VP1mX2x4/81VsAzrE5rgZicb6hMOQA77qigVX8rdZUACROD
Q9/wRrs8+c+WmOQ3dwk359LU7Xzuqj7TmwJZRtvQlArdNRhExpQNV2b1mSEbNBKXEMdX2Mtl1n+t
MMhgNR073glI6FXf/TigjljJwRuNt6+FAp9OiDfXolAOtldcLSDqyAAEJAKOmibirl+DCKRQE14J
OD4dBVIJjofcB/77fELwmvxSpm0qbYKDyNwgU6R2Li8tGNCX9+ezlaN9D1criXeSD6swvia4NyG1
MpDQihsBZLprFL3xUMIYfvpfhkL42VoCa3qAn88pa8amtQQ2qRzb8mT6bUiF0wTGC5poiL/8D4PR
7YoUHCG2tH6FI2cTog5NwNtTgNl0XUvjSxDibt+m2ebyUJ/tFSEaFyByzNzwq3mBYVL1JiN1oyha
9oCUhXmnm715xVctP2XtOBFJNpb0EDfEWos5T3t9imbsLm/ATdodWNE9znH4GpKh2pQdbJ/L0/rM
Mkj2AVEErUQNa3X9KS2k8UyndIaeVu7EM/S4OqZJGHF9eGWzPs6NbImKUXDxkclYz21QJSttwFQv
bOp6G/rVQ2HWB6By+k6so/7KxD4ZzUR3mfYJ9HxZ4Gbndjh0ikC3ccrr2iDohyCzhGdaO0Hdkbr5
Hok+/0q8+dE+yKxLNM4hjpBhuq7OciTqAPaFAlI7NfbvpTRP5Nzk4fHydn06Cl0OOcakMqh5ns9K
EHp9nFFnAtGGAqvaB/UdEM5rPZU+WbslFqLQwuOApPPy9385WtL1sKNMcPV5P/X3kuQvkAlYvwc1
G/RvcuWnf/55WpggSSYZtXoqPKtpKXpaR0HIkwCFMYL1TP4V5cY/9qgmscB7QMUt4dC5PNYhpSwg
NpHPPc+7QkFFt0E7huyymjtAMSCoiezZldP8cbfw6xrtN3lTEmKuC4JVX8LA6S3wfGnV3Rpz7B/F
blCGf/buUCpEg87lBt5dNlfe3czA+wAASVDGaAsvS7Lf8wI1q/X4WhusDxPSFYkXuCHyRJbpXr46
VCj91kInQkSUqin6nhVC6SVt+M/5eUbhaUo4sTRLYELn5gcQFLS3gdxwDQ23spPcRApnmIZEOfZd
CWwvbixAdPDkOfwoXVZX62SfzXNxG7zI8SBUHM8/QcpLZyH8gl6qU7AyUa2Et2qkZf96/3OdLD22
uJi5mXGN58OIyMN36pLGgxZmupYy/M4BGe8un60l1j67Ush4Lu1Cllq4tfz3fJA6ypu6bfTXDo5w
WQgPerTLRGNTSLJNxxsCHEhf9Gu4YpMfsgvLqJCNSOuqi2DQag/BEqLWO+qvY3ewQvM26z258J1U
j915frk8wfVQ5I5Fqg80ySHjCgN65TwidCVmoKGwgvUxuEPtxHe6IetvBPTWPVGHp0ZmL/QuD7q2
kPdBqfFT05QJMdapvRjVIW0oxtBGvyN5gB+QerM5me7lUda383+jmMS8irI01ludN4rQAXLATC2E
5jQAKhGWVCwqSg688muAiU8GW5qFwEOj4k2LjJXXr4uCNmXagkYMfcYaSvORC40bc2z9fzR85nU2
1MrwNd33jbliKLiJAySGzN8irvKvIdsyCpkfemOQV8OTrPxi10khyHvUGXEy2nagakyxbTY2l/fo
oyVQnYUFgZ8i20R+5Px8wTiYY02HnOhHZckrtglRWEz/1fNS+TkbZXWKeZCgCTDyeEQQ1LfRzfou
JtL3yzP5aACkI5BmpTnHUm0yVrsypkIrBzNSajQt0n9JI3oOKQTdRVfCuNYq6d10/3ZLBBgMRoqA
agn1pXWHugGNBHXqqWJRRUdFhphRgKxtNLe1kFV3gG+LTat33Q7xV9kZo1jeo5KbXvGNH/aONzI9
TyTQW+bC4VzNOKtQWM9C48WKYABUyCw6o55ci6Y+HQSEB2tKxUYX14Mg+4KMcPA9marM8pRK0Q45
veqs7T/t3oKIUXkIUUJhIPqfrHxFl6ajFerjYNMMLwS5XJpf0E2BQqrG4ZU33mpG/w1FlEurVmrY
tDM8N3nFN6IkJ7i19Qzyd8ME3S4VpGtOQjwfh4IuxS2WTVXYIG7JdXGBP5IEKZQebvanzWnnbja2
vbk5bjauuzk6/P7o8v+u69g7fuUebzZ7e8/XHI/89uC6/N3OPfB33oFf8tWb/f7k7vjbI9+850sd
Z89P22xtfiQ/fvmSTcH37583p/2en2bz42xv+evNfuO88iV8BNtZ/oRf8xvPtp2ds2NcvpafeL89
8eNvXJcf9cqf7D3b8/iJL+7R3u+f7b3n8D2e5zme4zjLl3l8Pz9v+WHOLb84MhM+0eMy/HbnHL56
h+VLvcPe9pw7x+XXzHq3LZi8w6fbeLtbx9nsj5vlg/LZtnzno/PGT93xpYe7p93uaVkmFmr5bvd4
zOxl2CeHP75sg++Jy/8/1R92bF2oyeK6UYEtPRw3p9f95plJec6bszs4T1dGek/2XBpp5dzbpk7l
FtvYuA8vP06BfbK973eOaF8ZR1mOzaVxVtFFUzUl/GXGYYte9o+P7LPDerMlu5uje+M4V6r9qzzi
xyVcvch9qa1ilNQfju7rM9bCPl3eIxAuV6a0HLu/nnfgs+EfoY50fLjZ3CwGvTm+/8O/T68bzsYJ
Wz2+Hjevx1Nlc3COr6/spX27xbD2j9v9drv1tttb+w4LOzg3O8z5++3tuzne2s7djv3m5HEsXOfh
xrE5n97hwbm5wfoOuysu/KohLLfaX7NRRVpaxqyX++I+c25YsWtW/R7uX7KBlb9DagcSI0PcbF5P
gcex5LiflgPPsj3yn7295VfLqQ5sZnj4s0PL0/7j7na7P4P98HTNRN4r4pc+0PpKaU0lzhajPO2f
Txvnz24f2ZvtZln04wYf5z4dFzfJxrARno0PdJbfuqfNs/u8fzy6LwW+bWu/3PzY8AOYymlrb5/v
e5bPxYs87rfYnXfAzkvbu3uL7cMTW+26su0+YBCvlv3Fu8OTbFx753oP+KHDcXEwl031/YF8aZ6r
2CophFGRsFQc9tF+wef2Np/7+3ZjP/7nmZkeTvTGcW82fAgPv3v5Eyjvccilj7AKvGakDadhWeoX
3PuRVTgufu345J5c52a/x1vvXjktOGs8PrfE1vMq3Otmw5pz9eyWW8B9YXM2r+7+dMJhYzenx8C2
v2FFG/aEW8I7cApf8NoH+92X7bf70/7x9z6wfz8uP/TH8+k1sp9n+0dg73F2+KHTI7/9/RtrxOfv
nLsnfCz/ftg9eU+7Pw4uf/dkP3OLjLYd2FuO6rfbu7tvd4ed92V/2P16euCmcB64DhzPe3Ltt1su
ot3DjfvEEbW9w+EWn33YsfQuq/q+zMz8D8vN5cqI3C27I/fy8cbZeXcc9fcv/PrEHy9O4cm9eXh5
wRCdX1d25LL3InI7P++0VSoEgyuGW/KG/2G726PLlcfRtx338N8l51yxA1rVXXSaNLM7HzbpDaMv
GJYxWY7jifPPUVtGXW7vyuYU2T+Wux53ybnY23wh3mHzuNzKbDQbz68e+Ya9fUdAsOFXy/fu99s7
/r17YtHcg/PwHtiwrJvl1uRE3XFy9+/hwu5w4EAupr5ZbPC0WdxpaO8wIZYfb71x8cc3yza6u5cj
kY67O7l8z+UNWG6H/z8Q+nvwByLnPcakM/kaIDoXBeqeeQgBOpQRxkWo5lYR52s4qjWr4r9hAH0s
PZGpImirbUbOsAfWJMBu7LV6F4/VdIu4b3endYG2DaljQLgfNfQxoNUPCb3t0K/pgr2GnJ5DpH3t
/bV6G71/HB2ExvIyIk/5oUxs5jLKxih4FdOY2o2apDcjKlObCMmB4+UFfofrr1cY9oJMPA+mkpTl
uampakZHjonwOozr5w7ONYqmynb2kx2dJHZaUb920fDaSXQ1VP2nXOteRoCBE8m4qk32tAu6Vj5a
3OzqA5FfMcmzWDLshjWIG+YrYikmnYtEqbaU3xmy/MkhbwCf3SNpniebJJoz+RGp3ujnHNEk5AqI
/JPF13VdEUGQg2NFE/l8Qfx6ljtU2XsbxD6tFfSicKF1lW4VxumVg/6JdZ8NtYomKmmSw2kxu7DV
hX2CQdySI+yuxGCfj2LxdIJgsKQozidUozbi5ylnqJuDcCNbo7ApZSRALxvSp6OQ7ZZAZoEN0Vd2
ZNH8KkURFzsq4vgVsZrmTugF/fHyKJ8ZBwhcjgRlKyB1q+AIHGxQ9hliN0kkxds+I1yGqCsFXqAG
7a1YIrYld2V5UPq4//LvQ5syBgGOW/54UFC8yaUhQ/FBoWZ6HCVteKNdlbBHgUe7zxD7RdFW1+95
kl+jbHxcWviMpMFBkZPjxCWcb6AwgLgR6hhZNVOtjnGSF7vQaq6BYD4urQkwi60TTZG8+xpGEYpV
r4tlNtmoJTyKuvbWq+azP+uHHmE9pPTbnaHWV4LLJXQ8P+sUimVEnKh+yzCnVqEltPCBakg+IQiC
htSLVdKvZVdKSqQ7KP+XIVLaTQA2BuX0+Ovl7Ty/2ZebxZRIJwAzBRUD0nk1NJhmOP4JQ5s6PDll
9GOvKMPKowUlHNS2vlYQ+myqKjgVCFOAaUlnnG/iJM2+GsjIFDYDKlTymMXf0iDwN9DfYjQnjHJH
i4hrbZk/+rIFpQVyHLYPlrMGMYS0gEavBtlrdCYFJxELwU3UxtqUyJ66l9fz06EopaDNgcQ0N/b5
/NDPnWmjjfYfgs6DzAUiJqLnW1GebaR4lvTd5eE+nAlaIYNx1VVMdoFQrm5sYUTSxtQgxmojkmpC
jexomdDP9vIoH4xkIRAyxILM0OhUv5yZv557ls8LekYaFP3izGw8YvM4d1M91H5B2TeRqC1jdXN5
yA/ruBpyvY4pugwmjaYcFDhKV1KT37EhtW5Wpf2VyX1Ywnd2JMhToivghPrqXgjnKRRRqoycYKq6
PRJymQNlO79iFx9HodwEOBL8GVcqLXXOlxCx9z42KsRjrKTRvCrsZ4Q09Xl7edXWp4vYhVPFucLK
ZROB+PNRIMxLtOIEgNz5vvg4Wj29LINuPylGb9MXcnzsi+lKxvDDkKwY+eSFTbeQ6dap+FQylFFp
4LdGTS25I21lNMcqWuFeQvDyZJntIiM8td7liS7b/7fHpFZJehKSzfuZJid5PtF0HLpeTOjP2W4i
u3MGr9gqR9m9VnFaJYZ0nMb5OKs7h2ix06uUcUr39Wvu0hLN/nW4f7s8mfc08aXZKOezGfUmRJCB
UeQtOE+bFmuedIf6nktbOkfzQETZN7V9oKuRPX27PPa6JvBhhovh/n226yRV66XTqbBTncGBm2j/
NI7G4V/v1fVKLgf+r3HGNEemK2cc9cHfVqgdfYVndvCv2MX69l6PsrpeUEmKU2GZzbyhZZuDnrOT
O+WVs/zhnbQeZTkTf81FiWpJjZf9Olbej8R5/q1t374+XWtoLi3bfsksVm4Xflk6SRHDVB5sIAdZ
KPsrGuin2TG+IKu+v2IJiy1fGm7lci0aieM+GG5wfqDFb//M7cMf5+nrlWE+cRh/H911zSRr8sZA
oX2ZFcKkDjU8h1aOjunq7tv2e+N+QcLx2oZdcRdrXjqpu9IKlzF7l4cdByzyvs32zy93oX3fuG+8
CezQjq9cLNf2b815VNBOk9Nl/ybnx7wRtzQq9ZpNeBftfTvddvaVhT3Pmn/wVfLKiyQq0haoPiyT
DJ2Mf1QbIXbS89fsf303r8x/jaRWBTpEhgDK7IVoaPc+DNWi7g59Ylyb0zVbWTkN04gbM18Omqm9
dP4uooVFKdODNk9QiLuGA1ylHT8u4Mp5xKYga+jA/reA6Yn2Wa6xoTWv8yVyI5es8oQjFu0/12a5
Sqd/HHjlT4Ygo8VTxcDKk3xovhZ31UH54d9TBaYbSvk2PeeH6KTca89XLOba8q4cTNCOkV4sFqNg
MwhiYZ/9jijP8W3DKb3cC1zTMR39ipP+kGxZG9DK00xynqTNcjDAhW2ineQ+Zw6JVd8uWd5iI9tX
7/HPHAA4LbiVi4gB9Lpzj90kZpaLi8lWHi0wOR+KaxE5qI51kzl0Vn5o7mk0sq236q21v7LKn/nV
v8derTIyf1MKboVYxR08/Wu6CTfDZnKTTbOXd9dyZp9tKTAPsCRwHcAqrh4EMf1D4qkuG7umKY8o
IYqCaqg6/e7y2o3nh8tTWzuCpXAGj0kGGAn3Eizp+arqbST7YarOjqC0ygbZSppdSHVE69tpvuLC
1dXlxFAQbsBfQg03DeRKz4dKTVkf5Z6Gpj7iQTeFlefQtJT0ig9dr94yigqwiNfAImKyzquo0kQ/
pgYVyhaxlBNa4Mah7tPGESc5O8Vlln2BYS7d//MqksHhWUXQDjZNX+znr2iiQL+qbkpaaNMHvPSQ
y8enqm32QBeh9JotLi7s7zueCfKGI3EDP1KDFb86BzRJrGfLECbHyPvccpAka76gyYu0Za0VSvKc
Sn2LDn9mlIMN4KARbCSrs/s0nvyvWpu3BbpOfd/vq0yXHwD5VrR+rKPStEuRdpaX1+VD8A0UDsgS
GARQ5pYCpOh8YVR6m+WtYdBbXOp7WsEJaTDhDWklELpjo/sQWHStH+MNjef7txpA2M+gsQLTlQBt
zZu4VPRrwkPr+HL5SAr2AeoIBX7aS55/JAHtzEiUytGh81VC/wdFtukRln0Hj6EhJFv25mEqZa7d
qB+veM2Ph01h02ANkA8mQ/9eYf7LTBDYF4YJ0q5Tt+ZrBab2S4sm5Akh9GvknU9GWgjOOuhIsgpA
rM8nGTRLJ2JLnlE5jnUQrlDQ3WKKEXEHPvT78iZ/PNekMMl5oeYEhVZcIyUDQxyzAoVRx0Ch0Gvr
kb6bVXDljfrhkcO2IXahwJQB18cVsMz4r7ULKE4o8dz1ji+Evj3S6N2Os0CxMajsEHVz4Rmpn3qy
GKtHQJbp7/9j70yWJEWyRPsrKbknm0EB5UlXLwywwcfwIXyIDeLh7gHKDMr89e9YVVZXDouuXDx5
m96kSKSFh7lhoHr1Due41Wr9DyvYnx89fgfaoc9D5HT//zHTtm7TnDYdT5dEseHFaZMYD6IwGdUI
BhCFJ6wSEPb+8tU9r2PMXdOBbZGp//3nrtyscpoygX+kG8CEqyj2VeU7x7/+LsycnYsFtIICMPn9
u6TzRG1qzSfoe2jWAVQif2hW8y9fP2E6fBCLzNq5PekPj16xOoU/0K8bqrmtr0uhrUgZQAFnoO5R
NS7J/q9+qnMrLYMuVEC4c8Qf7hl7NXW52QPank2lF3ljbKcEVd7/cEj484IibReUBh+KktufZkGA
sVDSW6UOfUPVkWmCJSxx5xxN6RqxrNwZYP+ip1Ni6F875f/jffk/6Wfz5R/Lvv6v/+TP7w0MznM3
/x/++F/X6r3nu/8x/Of5x/77r/3+h/7rdvrsh7H//On6rdU/7cf6421QTf3Hn/ndP8E7/fqbRG/D
2+/+ENeDGta78bNf7z/1WA5/fzt+5/Pf/Hdf/Onz7//K49p+/u3nt4+Kq6P00Kv34edfXzp9/O3n
87f3m6/9/Aa/vnrzVvGD//iZoflp//nxiVL3zz/7+aaHv/1sCP8XYqpzV/d5HolZcB7v+fMfL8lf
IHYwDMCiyTMmzsOeddMPGT9mub+45OQshnhdCnnkAH/+iUftH695v5jk31kKqEYxBQ826Z8X4ndf
3r++zJ/qsfrSKLyyf/uZ0Q0es9/s7ee2b3bKM86B1wgozrfabxY5sfab1BUpxqW3evhuljfjPJjs
PLucp2nuPjAPBf4N08qHLu+uEukeNryxlqMvoWsDXHcxIIAyiMrytffnPbvRyUzlZdUt+7pp7rd8
uOprFeMcecZ0894vDbufxFpVtJ9a5hdVkkWTUd3NbdCFXlqHLuofw8ZP6/Q9iJh538LCMYP51fa8
w5pkT2rrDvMkvwDOvBpSwPOjs0XNGHwZW/cuWyooEcF+mqtDnTgmHbjGlbf0h9RW+4q29p2nzE+3
SB5SwzkyCm7jUTIPgx28ztBE19y6sLl7nFE8dBboXzcn7yoO2ldHQPxHOymvx3I5gUne53Vy4Xdl
gNXDP6C4egWlieECiQdX5qJxm/36ObfXg/doFz5DEJyOxqdy8PEfNKDZt/5QA/Meho4yuB+CfD3S
lXfAbXXTp2edslPswQV/rc3sMunnBi4+3oY60vi0c3YlkX1zTD6OuGjyIjoT/A1DU+A1485Agq5G
fA2gKucf6/p1y8czriUEvHxKOzCT2t5hGrjwRRdaQ3YS0iQq8qNme5MVbGvLgUPfnETn3qX5i67X
yGm300aMq3lLYV3UKCnM9L4157Cfn1O17JXbHHq+Tv8mpTCkU6QrnPPlCl51uvaDMvScuOjNqOKz
jj4U/j6Lzck5tHZ/dCYjrLvXfr7olxl/3u24foDPDM35fsyesuFhLX4wJLZv/H7vO98yjZYwvzDK
ezsLuyE4boY+FF5y4Q1yz1EmRjTuU/8PwqxbHmy/iqWZv2JDPyRFeWSI7mpJuuspFZHIkyVEt7TX
ibytGLiYevdE2PFcZO0XtHP3dL0fFb25Fj51FfANDskTfMyoHOobnWTXSTocLMc94MLS0dTiUNfy
xBN1QoS0B/F+kmUPs6q/8cR0GINy3xbJQdkr9Gtsp7oa+OLMW3vMrtWCX64ouElNeTkHWcwF+Nra
w0XRIGTcPJkjK1jCdQZhZpfxujofSub7zE1tkM19bAXLVSW2YxeYh6CADN8lXbmjLnYol+S2dJwL
O9EHwRR7BXY0lHP20in7OhXBMbFw0pZNe8zKKjtQxvVhMWSRmTpPtRpf0nl8dgZp45YxGJqW7n2f
VRK0bBCnsrtczfbg5glPn3peO9s/LcF4skb3vcs0t7f2YnALb9hIcyK1AvmVNomhJK0B6J0f5LC+
N65BfKMeWHT8EH3uE2B7jEQCQ1aBJXAcUQimIvGfcVh0Wzy7hURBJzt7+GYoIadDtc1HqdfxAE/7
PZgGHeNHb+FeB+WpbsFUIx95b5PO2NnmlN9Unfyot+JxmUkLVV2Brk2bWSTG/NQYndqT3Mb2Y+TV
dxuR/D6Zh+k+b7dHkh5wwYvucll70u7waju8Paw8+z6147l2jqlXRG7w4rh3zVOB3agEwTDIOspR
x/m2op6y8ui7FejboUFBMbCI6ljzAcFEfbHnaa8rb4rqwPpRTEN+KgvnNKktpg9UQ+Dt6BFPjunC
zj4b15BGYrQiDLpiNm5qIxZb8NAb1iWkAL0bc3HpzggSoPoz8bDYEbWVV4yo14U34wF3j7k2IO0v
UVNvPwKnbUMjnxC1dF7E7Ml+qLePGjBA6wanIHBP41R/8bBF71RZP8ymOnozfN2qfzRkcvDq5Bmp
+J6kFJJEKPeNebTKPETAc6P98Tqd+j6sjAUW70oBfhSHiaItAjLowpZ8z9fhCqwcHiL5vaSLMFXF
dVpOd0jx0HvCpK23V9cacMGWjhd7aXaL843ph9YJmKIbMPkALLPioDADEB7u5kR9aTz4fnXtbq34
R0j5vxHQbyIgcu0mofJ//DO0+FMIdP1G+HMgCtTNb6OfX3/u1/DHNX9hLIDTy7mv5cxeJI75Nfzx
rF840pBVoHeBeMY/Fx3/Gf4QNHHoYKTQ82hlItD9TfQjf/n7iBBBkUOhElLTX4l+GGb+Y/TDQBjv
wGnnjPL5E+HGWeD7B3kjw40dIjlMRpG4bIypvmvpRfCO6Eal2CENT1/HRKdkxSsHG26wCNQZG+J7
Rg4xEVOWrRtDRiD1s6sajGsTzT4aWgDajnqbW7vyIti2W3Fgrq9EhWmLxb2Y7K7MAG1sA7tE5VTx
kBv6vXO6lOTb1Af2yYMz+Fhh9P6i4dHEWo8ZD0xTJd91prJjWYMCKoY0+EoPA0I5SeyGU7RHREdp
f3FP61z6MMCn1dkvuC3QHQkGfcIWC+arLqfgyDSeDkKcarCDqOP3bJLt8siC3/ywpaG/rG3BUlK1
K1IrOPnmXbVmGf5ALyiu2w26exh4nAFwYyNpRmUeNJgYuwKV4Ow77QkysfmDtQfFElKW+t5PUICH
a7ciisfVCT0eEL477+fM9u5Yp4Y8yg0kGJFL9pMzFJ1IaZSpPPtRWh5ByLS0bRthnbAec5tN6DDA
PpqwxCzlG5JCwQYB1yNeerPML1y9TB5M4WWJ4e+v7sno/PWWLiSDIAKMy1O/BsVLUilGKpM1TR86
31qe82GEtOROavoeBM247DSkrls3qAhq0sYt0cMxv9PvZmaeaLMzAMjjFR9wWxmbmT6VYuqySHcF
+c3S1sGDS2HdJEp2Sn/fy8kWYYIXCRr5WeISZiTL+K78JXtkMLH60eFLP6eJim3alYXh8K8agf6R
qcoj9HLa6abrCsAd5aC8FQF9nny30g5Fcu5YbbUfuna45SYIur0aUyaLZ3pVtliu0FwQaHUg8Ft5
ZgNNw/m8bSYZ3J7FzEHVlyP2of1iqvQ2cJtW7HuVA/XsPTDyDPba1fMSJJUfJrzRGtMbEDzUuAae
AwZ8v5VYr/TOR8q5gaBvAcK5vXLOD8GYDjj7kuk5kV22hNNoF8G1nvNmY8eq2o9pAb2PlQFlQuy6
Xe/tqmHuoF0no330zpb5y9yqNDexnU3Ig1q/d0KsOyZCFCdoEN2wtWeHpFnsTw9vjxcPdiPeSVzL
hwJgEE1Y6fRqLUWDCjDtrWsAL/gORPYprBbxtRhv8fUquojOcW+JKt7uW5nFsyi6Z11V87pbUG8g
Zg/UyraGS/pRrCor4NVWpQq7pEle8yZTz53W8xVNbV9zz+ZcsMr6xcZ8cJfhg8WDotf5voVp/pYu
OYED9kwaLmbLzO8Mp2/mcKtH3IRJKZoywqTN5Dbff3oW/0nnuy5qnjqH6WpMC6MsiEc5p5WxZ2bt
R2nmHMFSwwqusjyp7V3bz6a580cvLQ+lnyRyl2BRuLURQfa7uq2DnNNBkuSHxc+gYQo8QtxLbZ4i
3UqZ4oOFk4M60eU5fuP5RGk6p7Kv47JwzVPTB+tT4zPKcTTtXh4y9BP3YqSHKD8TYnfdavYul9NS
VYibtzv1/B9MpVVLZDV1KMLMDL10NGRj+7mZWDUY62+sIPQTe3v3rWS5DIi4BwaCl/o5yNySPCIw
lPKLMW9oq/DuuN9hwmJnlsT+a9zZwPj3OgXgg0pEDuYR/G1en5TcMMPv7CGXyQ+cXPQp06XmMcZN
eXPw67W8KVAO6vGyM2hVriIq2TmlV7LSwHdklHZICnYUhxI+CMDGl6ZOSlyQWZKkkT0rhQ8rcPP+
0vRVsu42MwlOlZh9mgfOK1noBVXyYc8bAXsv19LeF4Gg6JlseO92dpkt4tIru2EMV5PVjsNDLZ9k
RgY+BI7an4VNRvNtg+IF9FmaeKWybsM+tAqPvmYfa04W5SKrn0jNt/jHhRzLGESt4HhdFsVjqlb9
KtWa+OgI1eDvLFP3zxYZoTKU+bZ8wpHjYOG0fmWHs0OUhk1VNFS686UoOC16CSTElibyvVgLN70q
Swt/idnQrIpJ0/LQiah6ESA6HD/HAUsKJDSG3AGT1cy2il3DnR4XbNYlaibLnE6rdgZuKKuuXzYH
bvcFyLpxuMjIJXyfld8PO3y1DSeiFcPawa+6HouvKtpzAxe85Z1tNT1OaFXqkj5rsl4hTbuQo3Mu
TxcaaAD9iKZEXIjCX8b7qhzOn9qxkV/phbB27/t8BKRItUZPvTpegmKHdyG5VFVWBP+poV+CxiQk
gJ0GCd8l683cV4kVQY82MuwdUHh2iMPtOTSqYQMC4FrraWzlIHap5ALFwl1wPozgnJLa5/otNL+N
9A0G0sgutyBDPCjnejhxsoHa328eep4EQRwMkmCxyjhFBb7ttPKbPvKRt33kxlToPW3lKHL1OLIk
Q+vivynaynvuk+V7b1v5G5XC7BlDQPVQzSmZh8TkdO6uQaMjCxPQpzrztna9nYhvDOqwbxut9skY
sMQyCj1ylN0NpkC6m3ZJ/pwYi+QEwQLCAoREC09dDbY31KSbH2Zhb8GBe96+k9M0Brh587Le42Oq
WJ02271AbDvrQz4DGApLt7fucnfkrN40GRvDmisjQm5MpXhxMTcauTV/Am/aLGBfZ6GjoXUlQnNy
M1wcY67QN3lT/8JOy3ct2A/73ZYkvNj4g7zOe6nzuNiW/M3Mna475MsG+zRtK3uLyZzKm27J61VA
j66uqwZaz7gfhoSdcDUn/TUz7OLJW4Vz6Xfzpo4jJ5m3eiyrOtTYP2+aVaDcWUy3P8geLG241utw
s81MGITYnFCpdnVDjNUnLedwx6L4QZhQVS+1tLpPUZfOp+Dtgl3SSKx2STKPt2VO3OHMU/C8LXoV
uzlIh2dcG/JHJ4P2Bzld62qBXGPsaQqX55UhNW9UPcrLtbbax87IsnMaxSs1CFZ6KqctlUhfCHMh
pBRO80lXQP9jWjOGIOpFW+KgsrL8rpqC58Hczv0QVs1dASD2LMnsK48rOJid0bzN3uBfVJZO5hgX
UocUZ679l1R35Qg/pNffvdnk5EgZq3qVTJzfzKgam0gLgVePKq54twIDb7Uug8QJN4P59VhOjvNY
MfKMVaQ1MTKaleV/XUhgczd4g9s+8aJ5mYJa8jEG2d2NaP2pDT27MavYW436R8rKJNAztUtwY4y5
lb1Vvr1edEB7t8jfsPgQnSIijzS+9jKaZ3yGIH21be3yaUYD8BvdataY5UXrlqib/qhbhXsnPhG5
gLehd/Hf0K22Sz5v4QJJMvanPzpXaZBWyc7dguTyN85VofvuQVRFnodUQpFi/wXnqsrXiWC1kCI1
USn/Tr3atx0j/FGTYHUsIsBvgeGfzL4OWvmMeljWZ4fh8sPtzOL1/5mR1fEx3HBEP6d0/39qWavM
LDJcsUX6ktUZ/u3Uowh67HvHJC82e8szkVn1VsEZbPfakca9UbXJLWYO24+FOSfPWSXYKuwxDbCo
N05L9s8oyUVTkjGNsPMqlYXW1KCWHpeuesCCntEWAnaZc1TqkIDC3uK8LpUPIW7rMFWzh2u9HpxW
zNe0e89UofU49zSXj30WlUlXvK6t2Zthm9ZWGRrpQuySbVPxquHS0CjbzeBlHbfgg41VloJjaJGs
hzMF+y9JMAu5H7YkkIzaZO43pAH9fHCYBique6W9OydBS4SRUwS3tVt5N+yz5u1aeOvjJhdyPoTh
ux6x5xAmQY6BwWxGFt6qwN+8075usui8d35UnmH0bHVm/xjQ7fCZLbb5WIuSQkCNHo/AchLTB1uz
xE/Zbf6dbqvWosQ34pxqOTuedazj+9wSx++CUQn88H6+mtepP6t7tTkjkfComupUcTI8GKmzZaGs
Tdme8Gdu+7T1uypSwl6suCb5jALNc0e089AwJGk5Gqn30m3djDXb8Mdwa5R56yUT4M563iC/T8Em
Ipd8NcGGmPEYd30NDVHRe/w8DBylacEntRp1YzV+epvlfNOjqLtQNKYB5W2a0lcFDg6XsjY7Mr5p
t/QXQ1mPD9bQ+CxGIlHfApGQ0Ww9Cjh00UhAxBrcfX8JHINztOEmQUZI07kcrDgcDuG8OIwUIF7d
oLkUuRFMkZqhcoYCAgwzbKNmc8RYg9fR7LZmxevpl4IDkGBj2TKnfyElXTuXy5L0xkWwsYXvhmIT
CHS8xa5Cy5/4eqFe5pdUKLKR5X+zrypVJtahpH/m0hh9QOhIN823UlaDhWNTT+WhV2qrGa2aePHv
yaL/zaH9Lof293zSv5VD++mj+elh/F0hkbTYudr/r1RaALX7zP0jn3YGh/x3Ks2Vv5BvOXuMIKZ6
Z5b9v1Jpls9rlB4ZKiFCNmlT+lcuzRa/0KZBlZ8l69cq4z/Tff9GJRG44h/6oFC5eIwPgAI5Nwsx
LHfuZfhNKTFxbJWSHphIvuYuocdoOl+1n/sjQywLtSBsseMnJcX1JR9NMzTPk5osAp11am06VBq/
th5weSyRzRj/sZ5zEtmifbb8cnxPe1lQ8BuHm2G0kxDE+HTSDMtku67JprtMOCXCzIxHeQtUFq1M
ZKShSibrG+el6T5ooYMveVWTxaizfTvky4UszlG3JuFHH8L0xe+UMA8ONLGvwi40Rt981Xhvde/t
TT8trDAYtf9s10Ofh7W/DVfjqIpXoA4Bltoq344q65oPZjP5vbvWf1XG4Edw++4bxguzndjq5fEM
QvyqJxXciG2pLxrPcEJGa13UF7NlXOLYhkGnSO41VD5Tj5VhXb4X6SgPjGMZl16xituOJeK6IWGI
VNTJx1O6WSCDxdAZ3ovuSEo1U0COBJ9aONfLWa7e1c6rQBt0K7CtPlZ6sr+OhhfsCla9iizQkjnR
nM9cMTlv6cdYao45SizNlRgyhzAaTs3dnJf2tCsCh2ReAbSeXpRqeaRak340xfkDUnUeqwNynO5h
HmR5mMWycK5bx2yf94oKUxaI7XKe0SMSyrlWeuLTEdJDJrbJ44CLjZqM66FJ70TKsouHyiE5G0vF
xpM4xlk+Oa35GusWyS8104TdyjTEfIGBz2HaLXNeOfQmt3JO1yY8c82/gA4E1zaluYHSrdSRMMfg
Em8hB0Db5Ki/Qst+Xl2Lewc5Flv1ksxfhiAlLVLmk7pYBfm7kMBUc7K0mrtkTL33eUKpWNSUTlNj
scJBV+8EB7cQ9dc1krKxjsB8Ge1NhVmdLLrUbmXpZE+j7Q+HBivu15UmuWhC5b6F69ZbfugaSXs+
M47JKWkT56a33ObKU61/x2Bxdqrt5dMQLOpJOefPixypcCpJIO1UwWvbCe9rMltiPteVuq+6yLa4
S4zyWc1IL0/SWfmG8BJ78SKs+sqzO+NbsKyBcTTRd/ecc2qsu2a9VXGTCnnd1NyoZuGunCkywdEy
GxHeN+7MtznB2I6EM44vTj1Ot5miDsrnLPONmq4QWVxYaguZZCJdSZ05ucWq4Plowtu2jPPKkemF
6bZFR1lQ5PneL2TO0IiY5IFJwnyJzNHSyyWTlCZKPHOQ/mn2XMpf9dbvPWkYkKGD5WAF2bBcJ95Q
Lw9zPiAp5pbIwsDI5i+YngZ+xdy1QURV9XixqcaO85oZDxok8zTeSjvnUSYR9NZvS9lEPS3+dR92
lljuSO+LD1x85MmGcgsiQG/WV8DC8pBXc3nY0Nwi+pah4Q2av8LkZZyD9XzwMeadc96+qvj3Umk/
muO03oHpb2MYaj/c2fey50ZVY3bZZhOtANx9SfoF/0llxd0knG/NUJ8fhiUJPAqXXBFKLzyXumjd
9H6uJc+49JVGHWk3zmszS1aKovbVEqU2j+l+tnOFVHmRhd6pSWlaAKYi/ZCLW8ujC2JS7jd3yu2o
KAqj2Ct+qDnhJ9Hl0TB771SRY7oaGhnDvH41zEZRYtbJ++SnmtZSU5881dyZwyZDv8teVJnVETmI
OLdc5mZy8U5ASTQbbPVHhiJtNzqJunaZZ76Zp+roGV0ZT8P6NGTy62rQIDv6N6vSF2NlXUtZXlWZ
/JBp92BY+VXj9HfBpLKdnzUL06VQZxejuSsHB8mwLe440O/7dntOUue9GMlRIkuLqRrccaX9vZ2u
eagsr3rUk3CfOyLpkO9p2tlZ2+BO3NYoD7hlpDk+SKfaz15A9bUt3v0luJSL6dG7UMWGL169Nbgf
vDRia7n3tPXV7+1uZ9r6SO7ptnXXy8Qyb0uDOKmtX0APXatsug7m/Htq2ldeMO4Xql87ALZW7C/m
fkjWe5Pv33fHnJeGW2Br0dQNVyV0wi+9HeyTTb7VNhtSdz6/2oXzfSq3Qwsm4EK1a85mYnKtGevk
CZj6CE/rlUFvzmqI98LNX+quiHQqiUSh4wf248xJNyQEwHztqDZCL3hK7PlVNuTSyB6jAuklF1i5
an1Tla/27Dtxv5BT3ZXKbjj3WP27r33rZBpeG3LcX3bU7dSlDoIWw0bw0WzUeVGuPiH6YEPogS6L
3iZ70zCCEVMvIyUdbE+DW273hZjmfWqeNzzUpzGYa+7imk2Q2hdHDVgVEte1CjikdPIwkiK+T2gO
eHbm3Dya2yAP1aCLhFmcWjVHvQgcqzL7kvEM7900DTjpif7Ujx0KTWn9SEcmQGGWbc/pINP95KsP
bxPtvteVfWwHKfPQapP+aGX4xFp3TD47AQt7VQw9KnPyb8p2MmKT9Z4ES4YiVDlEK1T2pv2QJlel
dMdTU6Qt5ZPiO2O0J0MuTyTY1d4P0uyNT9LfLX15V7MeH0WX/zBGY4r4Deh4qTWqeVWHZKbLfXUe
7ZzSgjxcT6fRLp9tBn7W4NvSjO2uaKcFL2hTn2jjHcOW4Px7mo9+WG7iypmqS6O37Ki13IfE7cWp
ModvYLDKUNRovtjOS+vLsHgDYH/3QGPEfZp1e9tVZjhlQt+QB3MRNBY0/qz9SbUdnUW9fY91/pjb
LOEFNaodgZEZlSItjg1RHPKi5dg6Sb7nCed4Q2/Zhfbaq8kwb0gzPxWl+jCdieXfXfxjK9MHs2gf
QTXE1URiyO7ygMIe3/O8Mwf9ZBSaVqnB9A42Y087Zy3eU198bycS4FXQvvijcZB8vF02mywqncWy
L5b7ajWSL4s1D4eqc72dkydN6IH9YEC8/qhAEIJt4IfIho9Xzfng15TDj9QqD9VYjA8wDwIIGbNP
UDZ+87xUnLyy2T7XynKjXo4ZLUg97+a6JXiJbazpHq1PbFPf6Rv/TkhUrmQch2tHFlVsSRUcTcvu
btMss260zJbj0o6MlY4orncF7hQKTot3oDn8CW2xGSLrGr9ts+k/GObHENCe5BhyPZEau0oy8rP1
wGSN3oIwn42KNqWBikKjxM6VIye6mdXEDNId5qxXxyhuRJ9ud0WDvV4H6qKbFWOn9OzGHc2HER9h
C9NS3zRSHlliFMlG8WAny22y0WHjux2a79Q5CZzHMXzYOPWyPFwHc8NQqh+aJDtRine/lqSpTWc8
MoHMfFglQ0K2qEiri3qFdTBbHJXTSxZohsh8o4XywEqZW05j7ta2yfYr5RCDUzJIdg+0J562CJAu
+IBkeTEWTcVgIjHj5O148iR5jyagMWbdrJ2/Jf6pWPSto42SoiJJQOdMMp4Oq2wOhrW9kpxwdkFW
DJ9D51pUxPoy3MrhVdpzeecP+SfX6ibgBs1tcdWqrtjLgcQ3cd6OCjlheeCQiqP56TOwh5ugH/eV
Wi9z035qa3i73ooOvTBq5hsTdlSZvdhZ/1HZc7EPFtIvGvf8oh1+H8dN9nXpq4vWDr6lvbschiK5
Wo2GNL81fcp2bDhWS8EzfC7RDJCtKa09Us0wd5UzWmQKifCsPHk2zI2MQZH/SAzxkVTbCyDxOCGJ
95VsQJz5XZz1PgYHcqD7rVrKA/Uebn/M8vvUHQ95nZ2czfVul3ZJLpfNOWN30o1aR53upo7mK2Yc
mCa3x2uCoPTSS+lLotJN5d5ItshU+kheqCHXlD5VqYtMrMnaaKxdZ+cJ47lsOveg6gzdtWcWIZfe
PpBVDMJyJoa1zS246cug54h2XtUnr4lF7Q9RApM/7Nexj9Xie+dOtfo4IjG/WvXm8Wu1SI+zcjza
rZGE1kBuRBQeLJ1FlfxsZ12YGdvbwuHlVNku0ybJfLKYurnMy/PtWKzpyzrMDZifadq5hYjFOB/s
1aGiMdt2aJXQFRqV3FQUmqhR+zKkBc2PNs8e75BB88dq80ORNop+QDovDeKho781T9y71R5nvHfj
1Jr9ZrLySxa88qBE/rKVOMNI4y2UrQngotnw2eNrfQ6ql9A01yaecloJleq9qDNUZJbCfFsUrkMz
VUnUWSONqazUnG/HwzpQaOGSxW1XfNbldiMC3e/rtX1mCbb2vi2MfU52a4/OjibToin3W8/3KQer
jZsi63faaouoIzm585PljvHAq61xyBXr7cyUHtw71lRvl9bnOi3CF6RAKrsrp6G4Mu0pILKHp5Ok
TKEw3XNBgx+HEiyfYdUu/vsI6Xu3ds2Na7G8t4uoaGkr1X7kxkwHcMeynAiKJ/p7u0FVR2G3t5Ox
9hgea9OPvHNCs7dKGa10TbDPuAbkkjW52Vo+gleZMXNp+qtJFvKYSt50Mo13h83nYiSNGS/N7IeB
WdugKtZ2xxxEfpi7BbjTiIIL1eV9z0Z/yJPE2gOrtW4md7okOajgW/TfHEXEkvng+KekfaGomR/G
KbW/Zr6ykTBR+qeRzjxsUzpfOsH6SglpL/yUOzbL1nsinO0zZwaLNtCp3C+LM17zIN04qS6iWcHo
VhRUTybiHDZSbVwMWZruLK3fZ2p6F3gTnqhAMSGaV+ZuLjv55KqcpGWnmoPq3QiKRvY6FCmHzmJW
Ee0JzCtI/81ds29t3Te0sQZhB2yCNMr8mTGVvPPy3gpTx36lJ7dl46WRbvZXEdn2WO7oHxi/DC4N
xlu5tUcf63ksKjkRKKPPawIPt3uuBxK7VG1IFvCM1NudWy7fipFNeFi6Mcod5nJ9OrCpeq9xn2/J
kWJvf+v3bhcZVsPWb1pXfWXa8eJTV7LbKolHHkWV+87eX2o/psI/4i9W1d2Uu92hKTwq1mnX/sCC
bYV9MgX7bgCeJcv0Y1laEvaj+5rMtvgGuuF75/kffU8f+P9l77yS7EayNL0iLwPgkK9Xq9ARDJIv
bpTQ2h1qO7OU2dh8N6uqh4xik5b93A9ZllZMhgcAF8d/dWSVuF8cdxCvedmRXjTiQF1FRLyPaY6z
tyXLuVUkRqfatzcBtPyWr+2srErx/9lcJGuIzbsqaWHHVC8o4fMSRWQUXQJ3Np+4sZK7EpbxQ46a
c6/jxlkROzBRPEGeNl1LVQX6BpgUJZcgNvZDYIlPaIHPXpt7jwFa34nH3Q0yLPd+kX0IBckta0fN
T5HLqe13Y7+hHSOHXAY4403uZ6UXDvKiGrZRRjY0Fi2zNvn0uHTJoeaaBSrVO7fRqKnTSS9fzbD9
LKL6QpweRR37iR0XFfWR9Qyyd6maLnpfxu0dMav0hs65MW7R1tjPqm2WbelmUAZTvliU9fEAbDAW
ibVb8iZ+7L0sXHDktVojURoaww9vEZiWWfS5q0CTce41XWZtYJfi7sCO1faXpvE44YWYYUog+YKI
z4HIAQwnLJZxOeRV4/diG5eR7L9Y0q+Gc4jCiGSKKkBy3YdiIH2jsda8lBiuPp+HflNPIOf9OzCR
gOb2tW9Pt8RJpu0W5t9rNrFAJrZqxgAF6bi0acPChIx+MTLqnY2fDftk7mEGZAcJuqJPk042Ix7D
8T4uuzRfac7x89DpoQQNmkNIHr9tFASl7Q44u8oIht2E3WaOTQ7UMzU+O22qu+jSLCgKNjAuUYcu
p5h2Xp0iq84jIqVo4pCDpygPlhy5bnOpMz/l6sqDbafeSxcQtqu03Wrz+APJ/W29ageJ0njip3Zr
hp3zDca1YpUJ3ba3aJ5yvUeSZ9WXaUic7EWiWW5PkR7TgyDY7SZYCJNj/25MsdGcl9kxKhRoH5V5
9mz5A6JrbU9mnbsgYdtq4Fq9its0crfskM3Wr2wbd/igjqMdz68l/iUW4jQDpzmI7QwqvaQK9qNE
c4hepGYqJlHG1h4YDZtgVVUDSTYXzwPUU7b36ERTHyKgFgJAwrrwjwBi6SbLRlTtub1H+qH8U44N
EzlS7+X+dqjUhKkj9sgu75BDWVuZTHBhfJRt3Q59yVm2nJ1QrX0a1VkmPAW1sQ7dNFRfbL+e44vd
NPNHAgWjat8l1nzqUxfYgxlt9l7Yfgm97Ngs+RoPIhJ7NHJT7u2U9PeQuk+OqE5ioP1Qhq1BO++Q
Mn7txuTQWWJDMXWx5vCUpU266nqOOrsq9kE2fKxho9py3BhEhn7dv4aV/8pu/iQ9DjSx1PZawkKL
woKpycp5TSrfWih6pA5wYEP9EbjwET3hhU7Eu9B8wY30MZmDLxiGT4hPvaOHLNA6kJ9aX4rG7trj
XDftaiDrJwubNrnXYwc9PrZ91Dx7dAWr6fi7tur+cQoMVbgeiveI4JgVsRE0jmZ25u21oVkQDf6G
4yH1+vWoE89/SBYFbbmg61jLkdbzu6Y2onm27Nm/bwUTbFPxjpMjynb+Tjlq5OOCQi17oZv55zKL
56csSPT3wagoOHlNduUfe0ED4C5pX4FLxi+N2+MlgqvLuN81rL3VyHMnh3HIi4TpBYl1iOylWtbj
QsOLjdZyenWjBYNMMtRuvinsCVcPz4wMP8wn5zRHs8gOLe2ax81k099rpcYlGfaBqLbUvKd+YR9e
UU/S+YOOKkZvaM0UBrsZPBzvfJHGnxyEDiFfSUIPtG1cxjcisa0GGheNBO3CIhPsXBQzX7McHS1a
DttOXnRW5EfD3ioudmnjGm450/L9//Jgb910Etk15s7/ngd7rDvwJeKP/mnOuzrw/vV3/k1+hf8I
EWfj9yWkyv4nw/VvHbn7jxBrrBW5pApQgeG3/JeM3PuHA3KHuy3Exksonw9d9V8mun94GHL5iTQ/
o70QMvO/IyO3aYjwk47cI5cQl5/tuMwhpOzBX3/+A/WFprPpidiv1znBn8U61477wpFH48DO51ix
qMabVU9Xq08ZgNp3n7C8mHPnG1b4nV+H9kbXEgLexGrtDWTBURuqdlORlDCv3dayzzinQg7NxnCn
mpzuBkVdIakHbXdVUoQ/gIeph8lQJa3CJdHn2YvbB5OgWFhGUL0S4uhb1CIKR2cm0qNdgb/CGL1G
QZKex3gsn9y+5HAwoM6fijgBLTed39yoPKOBXxLlt6nnVU/Y7rN1IvJYrTSqpB1nXyXWbCWYump7
zLOVQLtz4oybT1M5tR9kaeU3TiKzOzocx3e2xgywctNJkvg4lQknadunNyWtWc6lKcdsYxwTHak5
+tdUZ/5FaEW7PSRFADHxqL7EbCHP7VJ0kuu70QUunGnag7jp4wzG3WAnWeDrdPQdDRpEFV16j0WM
ftiJ0wohrEqXu9xN+p0Uc/MX3mSJ1UCA4juxaJ8/H9J92KNULSJMNbFJim3qheVhrFChc8pD5CCh
4nYMuByt4yAPdnZmin0lmvxj6ScIu73UPkSt+ACd2d8EZdUcS9k4l0Ve1QVu48sjzeHEh9mhkB5q
i4bFzjyss3xAxhZO85cx9JJ3vjUW15/3isjsW5n56i7IE4EoSuTiKRRW/wVcCQFq2gwrAMfxGAkH
e2BWR53NZd6Lz02Vj4+LKdACRpSh1qJ2i+TYpeO0AbEuJfUztTL3C3drhT1NvT1LuVgYqvA1M9Js
ytoLTkGcJc+S0vpUxf2y66FVMYclXvhhwUwKDKQsDjbt7XWVRKeYhbidFhM9IkPy15XrFvFKRHHF
LQxIAh08F5w94oUU3HVJ94tJ7mpRpg+eypaNW8zpS566ek/KRPnZRsiyu9Ih0Ci0f19lU41bi9yg
L30jq4fBh68EaCh2bR3GlxhZ3GqI7QjDFxJgmc80Z3YBeU0UjisBYoO0E0McqbdcUt0xv2lbxK5N
3viH2k68D8S6Dp/TIivW9lS5dwTTwcQCz0e8MRZv1Q35vVEu13pdheIs6mshs+gEWHrq3smk6R9p
QovNSU+5cBHeiflmXOyaeFWsi98zMTa187j4SEEe0O4qp3n0XTncj2K88j7l3D7ls44ucY8DY0wU
7pHcSBZnsySvYz2M3yyt3Zeim+O7KvfrjdvEUMBW776gR0khzWINUB+Ft0QxwP9WNSV3XFnF3sod
WKIaJGjjKa+gtKA+tToQ+9A43Xsrh6RyCfJ67YnOu8W4Ic5xx0VzakT1UGHU2o89enBIVqi52Y43
9DoCyxPsJ4fadSdcWXP4yUBX3dJqxOxqMbcPyTgGz0P7130rnZOHvm6aLRkHXy145auqNJmee3pB
PuSJh06WINNTnwOoo/Wex2+1qpNXdzAVSSp6uhVTVXyq8bqv/iK4zdT3G9ON1ju3r6dnqok5Ximd
zi+Nqvd5qrIvc+3iQsvd2X6QpQ8t2Et1Q/+pwV1NS0B5VMdWvLE9v3hq/cwH3Zu4YCTLkj0lg2uj
yousDxXJJ/dWawWvBRmKj8wr8QLJPW0gOfTnooNXMOC7zwkl8CuMVvVQhJJKpurt6hh0AJzKKkCb
llCblYknbxdCa1zwAKEudgImlTvTIg3bZOOdPBz3h4o2VgiMI//Y50X7inMm3xYA1AiQpQSakVl3
CAZcS3zZzNwmhna1ugjnj9jQ0VJEoNSWdPfGZDj5dLcEx549DF0/REt3HJrlHvfAvCbKu6jXfdCp
I6rj7sURHQifK+YzyrZkWhVK641AEAq02oAOkObyTB8t+51OFeYOuPLlQgPAa6bWIm4ad7FR63fD
zk1yuaqr7GpnnEaOsi7aimEyBPyE0Q5l9XB2mzBSXPrG90U72lx3F2uXzfFySXWkbwdMJugfynRX
4w1+LmOB7AJV2kPZGWfP92vXGS/uNpNFdTu6Sbytu1SdCjddDnVqz8lKzHG2zWSubw0XxUuRdU/8
t2yvTX32w4LKumz0sG2vnyQPwHxkkjlfJSfyaYFs+BinafS9b7My5QvV3nlxRbEGrwsvMkERmBTQ
rlFd3A2jX3zPDDenpu3q53pW1usCqL5SQ3Y3x/3Rs8syoy4NnPvGrvNPUCb2BrGOte3tOjgWo2MO
MAHRwdZQPLTY88+LgCtAdwdNYqPDsHGo3Bdt3NzYGuC3aZ1kb3op9kvgXnKrJ4/KHZI1JfcnFcwA
A0GR40iq6ts8WlD3CqEPaSCcdWw19rkjPGsdhNhvlEiz42Bx60b8XTIr5vhzkSX5bXj1jZajVx8j
7XU72WUtxvvZfZ/zfr420Oc34WDHz00/17eUAurIbfZBtPhgqRBWSgxmWyIi22NmZQEMXLtStHob
CY66wcXWsRY55ZLKRl+SlfYCUBR1zVevpGi6nirusuHqKTjP/XoXz7hzQxQhu9m2F8TnbRHvSGIy
W3xa45FqC09EaA+rMNHF2mlJlx6aiY5rMBvBoQA5fpDD0J654/tbb7Dp3gfQeQ6rPvzYZto5pE6v
ntLUj9baiuqNPYh+o2xn2DlGJusZbPAWUUh+jpPmQwE5/SGxOvvQh2bcViNRA4WN3sNp6+we5Hu+
zITAcpW0ky3Pt5wiQPF1WhXTqVM5OkcaBg4PcElQK7WsR9jSZSA6QFXj+xF57i1ayHiHF2c+xbaX
HwdVmdehF9a9Pcf+3ZjL8bPADYL/RbqP8eAP27EN4vXgL6AWVUnDehPvuYQnNzIf3zVqbtdePrkX
4RQVmuHIbSBHC3dnz2VJqhgR3MVaRsnwvNipfDZIQLEWJGlzrhOULRrJ6axScZpNLNcJ6X33ReBo
/+LamTwgG8HOkTn6PPkfvbKFxJ3mgTPPKpy1szilXA+4P1ZqUtXZVVDXaePAGAB7tHs/7gio81y7
fCD1nENJjBpPZK3C7oKhURyHnkNTUC19mUYXwWSkmmwbp9poFBy2c5RI/NtVUHQjIn7dJpcm6gJA
daAHuk4vu9Avw89eH7l7Owk/4jUcD4uulwfEtM2WCjC9tX392fKNPMgIipCcevPitzGq186Zvlta
sAMg/DErfj/YG2KTTgh7y3dx7k6vY1P2qNf9dlm3fTx84jmcLccqwJqHhOQ57WW/m+yy/WTgbc+p
3dYAuEGZf5tyS9JJNwUoEE6APsdD+UtrvOpVO7YiIDnkyCqCDgEHOuR1XzQQ5pmHvT0f/ZshbN1r
2T/vEZDg8oqRvHxYcOZtO0qIKwvhcKXNPIW8Kkla+50bJv3RXga5a5SuzrRKKC6D6tXZr5rxFjJc
fYr0LB408btfC+E4R5wB4yZQgJ8rD3hsk5TGuUQAxyP2QJXhdaXoOpXIzk4UIC42AlvonWcqcxsu
KPrM4lRfqkRjXWksoDvL7e9L1bk7MRZQj12LRW0aYljBVg7LJXcag4k2HF+QUCeHZUzlF78U2c4T
s/4y6NLRu1wMMR7OwdpntpkxjWl9HPN0OriGNeVlJv0+48d5lohgI1WcRVNJkNNnGrzPT2OUOszB
bBs53ZmZs5z5F+vI5SElugzqZxtLGW1yy5fpOuK3+4LXRn4eRxeidYqb+uNcdexmnZi2tvIMuRyL
vM+XIt8BYYuDlyhApcyxvjvcXW7TOfQfGuruo9/2Nic0sPMc169tgaiq1busyLKYC88S3RnHUZcl
68uDFLBcrI5qm6H/XSXkdJ2crDafC4JX9pO2+lc1ljHmsdLZpTOnyCpG279RYi6PBSFO82ZK6U+A
bJn7wNVSs0XdMj+4ySz3mJDg703e7RoRQ4ov8/w0B8UEdMnKuxd67L/XohvOMjXZYcD28Zp4cmul
2TsnaVdJjsXQFGtg5dP1rDVN/zJH6l6F1X3NfXEr1fSoTLlsPKd8nCsYzTm6OHPwVNTpxgvVY5GK
b34gnhwzr7NA3Ra58Nd5O9MDBJUPGQrB6O+8VAp2ytb/No2zYXTp3ZWtHvBBeaI5NlNhzmVGFGET
pMRER8a/bWu/Xtm5VM8gOf1ZDmN9lwxljrGjjPemSfr7dMrC/TCqCIa7Fzs7D+X+qq56yX2svDok
RHYap1OsrPBWdc5yNMF8waUIeipK2d+6MB0nRe7MOSYDZlia5pjOXk0paMffY6fyWJHAb55C2hdP
3ERhGdYNvt0mnDmmOezhotED1E32kJREESXjxeqMd6tTnDQwnr1jbVxg0WfKltDa6Kp9ROMQnTB3
REQ5xPFjifBuPfeG62GnpItyKHIe7NJv90m4TNZm6GcwW9rCWi9pNspmwwqY3gUqbWm0QFzuB15B
/AoKat1LK8/lJmnTIUFuFqNcr9JlDzuHrEAu8ROOuQATbOdme+ta4qmyRwTXW8OOqLXyoUic7+hy
MJ/4lZs8RKnnf6oKMgfRgPZnaxlswk6C5gEbVh+gwF9cmMMCt6TEg/ZuaRMspFE14hLoqva2W9AL
9vCS7yJdan+dEbD/vWpHaBmHE3fXjpbck9Vd3Hv9vLwrR0mZ5V/FdlQ97jnGRXoJ2tjZmH6MD1B7
EQy3RoJqUpGgcwrmfbCgr2m48h/gHjti2oOs2hkl7Es6k2g5ebm4WLnKt6aa7T0g6VxuMF8BM1Tx
DK3EGZNfgt53t2pYCOBE2mCt3VQASOd2cMkUADnG3eqSjKKa0dAiZ51pQPVcBsNMX9YYfm/xpX7o
o5K1oBYV76eu4rDBgB2QFZKOd5ZEk9l0SXoAaiRMEQiAMcaKA9ZLBtB6W8XbcVS9iyCiq9utX2fN
hqYEzP/RD8HKi2lChYE7GWJsOhiwzVUhKrvbReAEUG8DSC9qoXbjlOTUr5rBW77pkaXetU5xn/Q+
AlrlcfpPXX3JJOFILlj4s9Om+CXSFLsXgu5z0bgJf7ee31FZhSdoInXuiyA+DlO9PHVI/o6zcft9
UmAY68DgbnA1Jp/HBnXhytNOidwhboED6j4oscVyl9elRJpWO1dLCufCQSsdPhHSSahs34xPqV2U
+ySI5JMpHSI+3FCP61Dn5ZkbfnVsZxHta0+zF3JRrjYyGVAEGqc/ot343lpLzlbXc7PyqjX3Wu9g
UNQ/V4D5G0c52ButxrpH8mJ9H9H0nboMCQ6uHQwekGLTIUs6mpJY9CSWumxucAE7xygpy+8q0dFD
o0Y2HDe03wuswOjxKo86z2CKXHmIPb5DphBBYMo6xzW8iBRcXgnWiWPusS+T9SOmHHEDJ9GVmy/v
K7ef7nw/cyhpQaw/CBQCx0ovLK6GO9WRfJrgMVO2/4jXZHqqutYcvMyzb1gQ3bkL/eJCHJwH69IS
g0u5tk5Ge3iNyT2lgrOWS5+U+quFPPojkuX5XIeQldkI9SLITjjAr6Dvs7hkh+NQf7XssrjvTFN+
btAvnfCvWjus6po9EdYowESN8gnapXSlPM5+Vh6KuYgfcSwHKExMEhxGZzI3RUhBuXLxsX9zmrHd
9d0QQPUNLgSn1Ah7sL+AtCxMyGjtB7XaOSHyJzvyqo/Cr8onq+i759zx+kdV1NHWSaV9CPSc3cCf
yhu8PcOTh4HnPVyZ84ChnAgr5ScPApPmGRatASmqJwQGoySNRwiEFta89o1drOYwDo+mzIqb0C7N
QfqDdSrS3OWN1QPhlZZ6VKniWi1Fgm0/DfJVNwVtuNKj1lw3c3IRhYd2Ujj8IlMNE6EcQn2GCL2C
tzjxRVRLS9v6pXrBEdDuF2inla06+2tv4uGxWuri4KWNvfdypKm+8rOLw5pu0Rr1OI0cATqJ1b3Y
c4t178E6gw328XqPPqyDugpQ24B+6JdUiejJH1v/0fdG9czF1NrNU51+cOcAfSCpcFvjpO3TEtcC
TeswbhOhyl1l7OHWj813QnciMi8wESFVEMlNgbhrswyJ/b7TgcP5V3rrssr1dgqtcBs7MGo+0kdw
bBeCTRGri3E4CHaZe80pSFVXnpFSWbT8yrP3xAug9mJLP0ZNTrZY6cDZT+i5MQw8zTq21lrqhJ8y
TdWqkKY811yI7xUmtxuTcgCWV3zQ1NK56/3YfhfKHrn5KIv3UTy9YKoqnMPU6/AOpDCVB3pkz96K
S3R3jOMuPdQAKYQkWDnZlZGqgbqoiaiP4maQ5Yr4CKe6UDRPB+FSnnrC7oKDLPK5WFHHm/e9a8WQ
xiTHDOwrtJvZNa0t71WTEILrT/SK2VOtUiXDPQAFWqXzIaDdnb/rKo1snkAOZA1uTTe06BoSwtTe
jgiE/PcmVwRdSGIlmDCK5IlNn9j8DeYZaF2VZPJDZoPJYfJJz5y0OEYQvcYb8lrxbHeIYx4CG9Cs
8gd+Qhz3k3OD+Xyh83M81MOhX6pUciHoUI6jacZRMWPCWBwXYKETsr2lZMBm4nao9ClrQfu6BPSx
CjkAMOyY6TORpuFtp3yGC0fdPsmEazeYZrKEB0J+CD3ou7SM135q0rXNWUo9WqRQtMsyLQc5LgAB
SD8liNVQneIwD/F5AybGHujdtbRgvw9TvO+1GavToHwu8IQJYOceyQ9aC2zQN39BmQNFwGYklw3I
1iapJnewxblURFvucRUEc5u8spR4RN1UJy2IeQlKkz5SgoCfOHrcyKFHCp8TDBgngTqx75rHHt3D
VnjkqLVhcxsgcd6SPlY8V0ZmN7GRd0U4PZCEQyxeblUJd0/QDaumsR0NPajNqiS/ZFrGl95yq7Ov
xMcSXtashM31E7EUOyWiIxL0iJD43AXNCL/viwevpw1N6vvvQ/KB8Gsg3mfaowH+lmqV7oWTma2h
ZdcBch2CMxy81542brQXUEG5Iw1NEVlT4UTJr27KUD0ZyQU9lhyYXm5gI1S4HMKOAmqag/LjgHvv
UrYD/qOOrJlojOI7S6h+N8dlzn0GuybZaNEGv9Z4arLBEFu4oM3wKPpOQTFnn0hjiC4dhdon2+um
9yVtpd4tU6mPFQT6aw3chdpnJs+YnLE6IcfHX3DKXkULI9UU2JqWTX0bM+duaib3gyIN44btJ7+N
DOc+Dn4vTXatbtSTSIrpHiVIvy8ztIogJDXng0aZbk1YVzpE9P56kE3xOC/g/BR6/t3SSCYW6FnN
nadHbHn5X172LS/rWM7VDvjf87I3n7pPVfJ//8+bhK+//ta/A07tf1CFhZZFuC7/E1k/BZxeA0pd
S1q00ZJ+wFj/TviyyTB1nCCKXNLdQgfTxg/crPUPhyguWNmIXxBq1vk73OybpFyihckdi+Q1SYzW
WvzUnz2JDmvVc8naW3WZ6BasxGn6vl3mkgjMRnG65sOSYqhPsDGR60Qs1Q8v7F8uyR/zVd+mkV/H
9yDCMEPakMOkjP08vnRQVYwaBebs9/f05MqfbRVh/nK7wt64feI95bLk+o4emXxLRyniWgjAaF+4
ilV/szvkP3+ZwA6JlCSSzfXfhCE7BVG4SzvWCEQSuLPB6M8j+QobmhxEq2JW+U0fvkOPlPwhSZuv
+WPG7D/HDQmO99HB4/0iBu5HY6hVRgV4EtuUB2dQE5Ov5IIbwU77P7zun2l4/6+B/sp9tyVnM7ju
zwOVVZUpY6p6FfdGvWAWlMF2tglg0CmQzj+1Gz8FIf/4bX81GMGHtKW4znvaRPw8mCZPNxE6J4iB
N30C4ze3hGWIDZLn8fn30+j6e/8Q0nt9Lv86BH33/ABtxPUF/yAvsJXrzUHFc+GmVV8zQMAXVOzD
Pq+K4pDRhPz19+P94tF8iRY9YCE6oW2xdH8cr3AFTrUZwNyvg3AjEkJDuy6GNLvq1//2UKHrkNB9
fTRsyG/mRuqXTdxrsEV4BvKH3cmYa2hGJY+2U/V/aqh2XW5vXiRJITyYHeDco33izw+WTRWssbnW
45Aza0hG3GMCHIh6Nuydr3ruQBpb4u3/Xq/G6wcMPdzbNl1RaWQp36w8o0e7cORVVDZWPZnqJB/A
LVgIp6o0eRlrt76EQyLu/v675UoZysC10KRcN+cfP+MQDG6pBbFeTFMSZytWOd7Leh0AbKx+P9Qv
ZmjIvKQvpGTDj942fl1oYRgQuQxw1C8k34EE72d/CA+mU9lmrGLxzwP67yw+Dg4sM+xl6HjejteO
AbfhMCK0oHf9oyMWZ4NXgbjpMC3+MEN/sXvRAEBivg9QE8nrOfbjW0Qp6uh4VlSvcVpgt0GpkCHY
3v3+Bf5yFC8gDtMj9xJh0s+jWGWTl77HbsK9GOgcVPKc4Gf9Q8fiXyxsfEGolfD9cwQHb1ZbTwOm
DiksoxTYs9bEeRbzwc1m0W5mmgH8qW/nr2YFTVFdy3UJQSbU881DWXQOMcAhTED9NOjloayxmPkg
27jKsvYPH+pXo0VWGEaOQ7teGjf8PBq2usyXaBZQuNIMoko7uePuxJUTcfkZZbL5wwHwi0/Gjsxq
Jk2aMT0iTH+cGHkAtDEJq1qNA8IsgjjwUGzi2lZ/6gn2i6/GEAjMaJRAQRVd//yH7X9qXDvRKet4
Goag3JQY2DdBDpO0Srl2P/1+Iv7iLfISYUN8Gk9GZND/PJiakL/oOLzmgSYe9yyLSGU0Qp6C33XA
LwtAnL+/OxK5z5zH6ECl6F537R+eb6nDkvBronOw3CvcVvHGdVS6IhaZTGOFuWaa7HHz+8f81TuF
bfeuRSb5F9f4/R/HTHQmmlKQ8xz0xQk2Bp1FKQlkcbkb/X6kX5SgHN//f6Q3JajfWCjLfV5ohJsy
23HJke/Yr0kzBpG0Sa7Sfvk4LmR7bbNx8P40eX5x5EUBmxd5uuQYyL9SO354uaXuQoIc7Qpbx6L3
y+yJ+8VX0ab1+nYrpogQ+DZVr79/5l8OSq+b8Lo8XFe++aJdGY12Gkr0OiMvNY2K/KWc/ZfEr7qd
5bdyNxIt8Icx32T5Xs/Y60FwDRTmwkHN/fMX7cOFeG4geeCdFvYtqU4R1NErHQOyLzXxuhDV2Fc9
zO5H4kbKP2w+//mVmUU2W6rHKYHw9M1mYLl1MJEPBw8bTPaDceCYiqSLPwnVmpsFT8i2xzxxQ+ze
H07C/9yFrtOXleNxFtJp4s3BUWmXcNcJZbNyKnmXavp5ZzJzHn7/Qf9zV0DYStdwP0Dpyr9ef4sf
ZtEQVCZNHZREFNjJxxgBdoJmta8rhNNT/VGjOETg+193zV9cnf7zhTJM5LAb+JyJ3ttNL9GlQG9B
RUFboXIk2bPy7iOzgJ13uZvuEHOTTlfFFiqDRmXtH7aHX43+V1Vve27ALv9mAg+itlLadaKcQqNW
bDC14oVDGZOQeIymnKDDSi3jBoqjyQ9jK+xvv3/6/9yeJGcKsmXcAtLh8vjz+/bbNKVsZtNwJiLg
+edTjgB+7yRhuPvbI4GOki2EVvo6k94cLtwlnGiBNVpViPqrTbWE6NaAp2D28ZPgffn9cP+5SmmH
wrWCOtHDUPy21X2fiTybdM/x4hTtVw6UTT7SvsIGGN1qXdX7GCXkB5w+zT6bpfvu96NfX9vP9T+j
+x7ab6o52w7fHG7a+D6JEYyeFF12thvfQkNQOX97SV5HoT6lEEaZ7r3ZiVghYZpHaDKsUUSnbHZv
h3ASx//Bo8Aws+ppgxW9Pad7krzpcs0g/rg095hOyaBNLQtB2O/H+cXKD5kZpEQBOlNsv6mqsJp6
5VgZYl4ISN1EqCX3kV3Gxy4KyFAKtfjbJaoMQ9qlXTuT078teDPz+5hcSLKU0ZeKTG6LISxuvSt5
UeJEvf/9o/1qLoa+ZxHCRNOy4G15WmYpAYnkt6+CYOyPVta668B2yw0cdHFs+s46tRLPLE3mmw/k
ezR/WAq/2GMo63il4TU0C67g5zXuFflQdNaVbJ9igWnWjdp7NyzIabWmoHt2nKuEynPT9tlN47n7
w8Nff/qbpRCRYQ/SJpF70tzl59HpTNXQnbFARkGIxwc+RupjHGUxrg3pgv0qUXn+iJ/L+x9sOAwc
OcTkUY+wxf08sIZXbuOBS8Fst+Sb8xseBzwL722EKk+//8CETbx5SsBJF8cIdc8Vg/Pk26XYwcTP
rsGb2C8uYa3g4QDxdgSYkc5O68Ayy4qUWof0+R3h0bHehXnRLST2RcRLeXNufwh0SGQ0PsZ6ITan
Db/hyJ6RlHrj1G0XfK84DK63Gdx20E+D1biY8XtNde55xBzOhqC9dWCN5LAuE9ZpRxk0AqKrmmBb
UtJkmAkS73u/ZBkGDLspg0PYm/bGJ7k02HSDjd8yBzr/mpVDTVhJo6dwm7UjzkKVevzYzAqmT62f
Ftgtq77Bs9dbKXIC1MNrrKR5sbKNI3ECEpFKC9E4HC9JOaXBmbjEuEVs5ub2Dq3+su/8ofDWBVlb
LqyM5cTbTnfNI1FoBMUPcxc/kc1MoqDFY35Gji6ja5IMWtnFBA6xa5HfngQyGUPiql18dOOsIGaM
sqJcYbPNTlYxTz7kt64ui19hqc/ybtpmfkP/d3ov2ETf+Itzk8gcU27ZaQ9tZqztXWLGQW0mgrqR
ysd1+/84O7PcupV0S08lcd+ZRTLYArfyYXN36hvL7QshyzLbIINtkJxNjaUmVh+dWYmjbZVUzpvA
BU7jE5tktH+s9a0S5CzoaLN3mwzFWjsRbTQn+q7nENZH04jIajMRmWfDl5sgM/l2UX+HIslFmWlx
qb9ngY37KLUhwVxYVo192JbVdFf6o+/uxBCiwbMMbhewd9dEFmhCa+6HOfQ54IVDf5eWsWFG9owC
MlNs/dnbC+aRRlrDdVMKW207Ypwn6JyD+SArrydXJVeKiyij+9ICLv7s9AFXbt2wUq8CQgiSjQAU
9JSPqXa34zhrexe4E5eCosp7vYMy2k773KvjEBFMUdyOngVKJ2tTaL5Op2BZ+1PM5miRBQ5WtBMq
xC5XTfOWUFJ8lYtb9DiKKD8RrNO0boKQejG+pjX2Wy4SK0tuGoT0cNL6xMO4KGvEIU2mlmHHnpXI
qRqo1OcgppNuR7y9MJzh8g244tTU7BxM7XeywVgT9YPRfIsVRXccO91yXTg+0kA7cUkpsLXvThvw
S+GDDLusjcToOsleEhkhNsVkNBfBvIh5my6hNiOylxour9pskIRazN1DF+JG2MTeNDxhimiCrajY
ey5AVh/oDbwGU8z70s/N6Ysb5rhtkqALbZR9k2OfFRK12hlSEdsCZ6/b7lETD6Z/LnMqkG5yh25s
ynZFDse+0AoUfw/kYUTLb36RaFgfO9UC0KgTlarrcUiM4l7ZwVQcYBB3TaSdjuMOjtwijUorrtuD
9rVFOd1YhLHFGxuX540E53ccXZWJixFYIobIBQVWtGgU1V8SU2e32G9x9yfSR3AwWhKS+NCawWe9
RtzunBF15GbxzHI5GlTbTFw9rX8j/BnaR59X1kOjUtffuGlZp8fY1TbJHMNqFwuCZSm/JCP5RDvU
hWl921dmCB9Gx82PfkKOszXzBVPHYASDeG7oReRNlG48fwNSREV2GtK5OvBWPRBBuWFD0XOs7nHm
7+ubeKaicxOrMhyuKlGJnighN15UsKlcT+YfBhhUCag71LxnOTMgQDjmKQLlqjK7mvplmi7Qx1Yk
GuHH6A/Z5ABAQLZkfjYAHsebkLoxwg06eHMOETbuDypZHESpVT8kW6NojJve7cdwN6ydFKEQWVrX
mc5Q4w+50cDfMblg3rbLTHoXzm0/BileW7eNUs1t6nWjPkAo7PtI+EZ6OcpapHuBMMy4KFPZZF/x
4uUpqlIPjU8HSE3toOv64sgSiV1B96Glb4Z4KsPHZnAFxGsz87JIS6fCZDHlg3HZ57P3M47ZfG76
rFPDHtNNhQktpAp3V0mRdRdeXxAuknp8+/0Q2vqnI+OiPVZylGDt55hMya6M/fwsMa38CcmdwtfO
zdzwyWJig18SVtKitGtpeDLYev0LE0BTs+0xTBvHDMb2PaAR+AD2uIga7i13NZt+NKd066rRzKBh
942Jpswey4uQKA//nIKUF57h1ZZf8bHB68AQMLA76eu2PEyzPfbbHsz058qgyoexfwWfxJ1rfvf7
NR88G2Y053giDtqNLWNTIP16nlHnffYSnVwRxZvehOYg9zbalRvIIAXKWTk0Oqo6wTfiItrGclZn
dh9JHC39tS91157hmsntjdshdqWAMc/mfrI1mB4PZq+1md2qqbbK9iZozeaQl9tlZnaO2jF36rPG
LoiNBcy1Ihpc6c67EhqRvJbmKOWRaFwGMRg0CAGe0y/nuhuL4uhPvTa20InXfwiIB0MIsuUaoi65
qNvWQIe6q6XRIm0o4dV8LiFGB4chgBLD9w9SfkhB6OPZ2JQaOgfe+CSqWYx0xHhN5cbpU9WcUdpw
PmDW7KETZJ6mNzrLQkRBaDY2Slgai7CL+/aGrZq4pdpvlhfdXMXu1tP5AM0c4yGyZm4Pr1Fkr4gW
s+mRa3kNhwQrc5bnODeQjfmKWAsMLZ7a2aSH3VqMi/YSomJ503UJqkqnzqDIqKRhGRuR9Ksd67CY
gWVi09w0w6I+1wCS7mQws81Ijay718JBGbKEbg+jWmSoObIkEVAtnEH85O4D8ZdIKAlt2d4kEwIH
UaYfZAuWOe89kFg50Rj4Qq1munPGDn31aCh4X8gJMj/CVrIgjK/G6dJZRtOikqWTn6njp4/5CjCk
53ogLhxZcq1RJmtSCVOXS8IzU3u5SbneHA6swfndYgI93ni95934rvLyrRr7YYmkq8JvBcOTSxKi
ckjh6FDfiQQjApKnRt+qnKIkmSb9dJnQr5DKqKxngxLE7q22F/cSAXfxRQ/a/97bcJO26KlTHJ6L
BYTWDapzfBC4Mxt3gDjNrqRcexAC7ijA3CEOhgdVR1tteO1NeHU2HNPLb62SsGCGvu2eYEAipx8w
Qu8We4TyP/k4J6PS5McAOCjHn+Ncth+hQlQEJbXOeWYLlIng/3p0t8Y0AkBHAP6U1jPQL60YNHuA
JJ0VoRkcyUjDZ2q4PiVesGkLBZak195WsomYLwXKD+RyWTdu1Yypb2PjhCV9eKzoW6r0moduCdAR
Kmslb4W4oHEOKw7Z1/jsUnZeqAfhDwzUKKNCFggaUWhXDduwtGEzVikiJoxljcSxU7DeFXYPleMX
pbADcKvreOnYDiDusFcY5cGuVSh2CLEGNmVc4auIm11OK0aXNvnO0O3q/wHGXm+p7ZYQVRayDQxz
JAxixF8ujlwXtV+6gJl7W8XwOrcGBhmxD7C1IGM3WxOA/ciGgTVjzB+NNh3jgyCWsd8tQeuiuYGG
er8QJR8gnQTVvbFxP5J6ZC3Oz0SXtKMloqZrWxhUknPiOOH0zJCttoh/UV0lCOwKNqsTGQ7GUvFf
HyuBZooJYsoOPkvfx76zQhCuLZuOKInTWhytuc2dfWb17HJq4A7sX1HOhUeX/Jg2AhYZf0qdwGgI
M3Tkx3oeS7aesA+NC1mlnrtNg7m5jzuf1IveIBsJPGAL5oa1Iln2fWdXajt5XnA5N5WDPIrwSx0h
PvXNKHCm0tg01oLAXQHYCM6DMAue2d8x4sbYZj/em4ApDIo4/aYFQX0LQwRnNfmj2QexZOgaufjt
fhZyDJ2NkYHK2eR9h6as7eYgBcaTLkgR8/C8mizR7SBSivuiG5crvMv6E85IBZ4nM+QxWGTSRlXf
8P48GeZnRR7DsECX6tln2NLCi6mGAwd/P7B/BiYYREKVCkKnXELQVRS3Ble+rJocEBICf9LIACrg
se93Zz4rW1B8aPYKRJoK+DKNH89p1DukNUUsZ+jpKr9EYWdYNqrmPOj4O3Xp6geA72o4LKNeucgV
bnb4YQ5dLOaX78gQJ2Gj7ifjolPujDBx8QhaLLSJvk5rA4AanV98DdpVGOcw6fHfNlIU06sDkCi6
dqg4g01DeKnJ8lo2fuLSoWG9znKXGysg9pdqD+MxDSdhSlduCVjh0GWw4rCRdPSDXmRd38LedeWx
Dglm5wPMzYfcG2D2QL+nb/qw8HpmvNTzOR10+rkF8nqHa4cfSCWQkwrcrFUoaJs0rKFm3+S+6Xw0
p2qlvCF05sjgh/kQ6XBB0YfHhOcRyUyPr5qmpJDQ6GfSdta35k6kvKxwUI/gNw+Qfe60HHTYV6V3
MIJX1n2r+DlVtpqeE4f/khFgtjurpTaTsyoPaUEsPUA9VjtkalJL/9KfKx6HfW54mTMNQLeKtWq3
Wel6/o6t9ToOe42gU8gl2M9xrdJdryzrp9fK7vvbdYeTwpKDaoIaJ1UOtuVcL4mTEge/1Q0bYXDq
4p9+MwZO7cSGDge/0NOtYZRUtQ0gOIjjIXEVg3V4u/mTwtKv5j2qWty4Uq9HR/WywuLGuu2V8CWD
3eGIVsZ4hY8m0l2+fKxuFEopzoOg/9qJRLJ3rrt+lab/Ulj6Z+trJdnxKe969klhyXPiuGklD5/U
jsFkPANkTTiGBX3wqVHIG5sBa0nbY/Ir+SDbKscwU1Vgn2wNVyKd3fazQXLge79rLVS+9bvWt/aX
K4zKbOCgqbSilgLwb9daMcxJGYJ2LXBwZRXqLIaXkZmbloDBjYV5Cso3M24rSbyKG6//8vZnOqnx
//NFhUBLPMtbBXInPwh4HegIB510JTmjb3DfJlHMYsQtZIe/6Z1q40kl7FdrVFTpEJRxbf7v5eMr
7VS6sJCdziRRfncynx0dzjINiWxyp+9xUdvvVI5f64Y+Uhtqi2s6gXtSya3imMyKDp8KAHr71otr
IrViCyl5b05n8wj5QlUpanrhvaN7+b1h6pnC4uYR9Tpl/pMeOHuGW/oY8VYtqV6rufPVjKTpYkq5
eWynpt82QdPchy6G4rc/6e8D/2XLJ580wBbomHicNu04k5mCwWUMr5mHppsQKuMIZmDVRzcW+v+P
EorAeDamxIW+09XXF/uyp/MrEFiSE78ic4KTomeHTY39PiOwZAnnxJzbN/Oi6rO3n/X3DkUr4RrV
anto0syTz0vTmQgbxpPQVn/uWmwiAmmdB43WH3z8IO/0pt9HC5ePTCpCkOrGzHbSXOBQNZIG/bft
Ob724GnJfWemMHPr+OcPxl4aas2qFEPhcTJSwIkDL+UqN26ILyzzxAJvphMKCz4hClw/+v71f9Ci
QEFrctm33pe/bNEyl7zhhAtjIzX0UzwbRhT2uZ9BvE2L2zaeg3cUF6/1EJQkXOqs4l0CRV42qBHI
OLVImAvbgWU9XFSnsFd2JP+8/WSvNoTaLuQK0+GrndwuZgMGFUl6HiFIPsHlPTgVe5qad1p5rSty
W2shIkQUZpknC572ocYVKa30QwoOGlrZgotrpfAB7L7tUmN45/Lktc5I1YkYJRQOzHEnI8yrKaDO
wdpFrDG806vhhyjbxDd2RMcR8vj2S1znq9PxHAoflRG34Q6T2suvVYfDmqzJFVxrJfIxS0OmbNzX
2bioy6Cr2B+xRxs/vd3oK5Moy4UlHKSSrE6nwswFR4FwydncBFmakp7nx+TYz/FG4IbBjxBcKybf
gyNmoBNvt/zK1/QRC4sQKQeTi3MyiVIZrdOgYaR38RB8tcmazNkzWCMeEypnCYjC3dsNvtJJ120a
SjWuHfmk6w/6y86g0+AunJTqpxQGChEt3P1gCHP/diuvfEXf9hht3DuvrLCTThrOcZIDZV+FGoU1
sV0uuvwgOurLe6syV9pQbs431kyU+TsT2qstsxA4sDJZDvyT9TAO8pkSLxIRSrkcMDDrxcTLMDY2
hGVa35nb4RFryx3jdxp+ZZjQnsmeg7s+HvnkS0L+E34/0LAs1HTeVcSqeJNh3GG0Hd6Z0V55RlRW
Aj0Xs5n3uyC0NO1FuxJBKHdkWwPjyWFy4ZDwVgEuqTprvxRW+J745pUH/HU1jpwSIbhtnjwgJMYh
BOJCgJjVuVuzBftbUXY9JCb4pre7zyudFBYEWhQL3QS0uZNJIG972Q4LDxiXtrMNMTxtdQN68U9b
WQUnJtemLuQ80qReDgVzpDKXNcjijCYdbgpdVDsf+NY7G7Tfn2Xdnlj8j9kTBcHJ9DlgiKOeHJIW
4UOIVMQ4RlaTen88rNlbM+RslnDMLkD+XgxrSoPjxDGjxiHPVcpNC0Wi3tYtUb7vdPNXHoeJ2eIy
H6ErPeFkZJM86SSUx1nktAkuHfwr0ZrTt7e/zO+zIsFfLDcBAkk2XadPg53G0hP3XVQH3eKcyRPA
K1cJPN2E3XBXpImav77d5CvPhdKLyhz6K2YNa+39f5kXs4qUIWfNCRGCw3KbAo9W+Am3b7fyyoP5
aJJNVMK+4zmnrWhE+QnnfwQmYQMJrEz9S7R03T7wqXGqKXlPm/h6exwMvF9OgNOFbbTNwfe5sVpJ
eFyGGiVkQsRPScilupnXd8PUiqe3H/HVF7mqulllkDz8diCXZoYDnRc5p1W2xYGTbMu6X/68v5MV
ZpouEEpm3dNtP7VX6tYTC8xQmvEtkSzcyeTF/I6ZZx01LzcjKDJclhKMRJAzw5MZApd1D3ssljj1
CWTEu9dFIh8x9XodKEMd+CTDJEQe2l0vD2+/xle+HNsttOQu1g0L2sXL/jhmZkZqIttkqI4JeD/A
77AGnW5f1tTzNl6hbXf/dpO/Lyuoc/hgnAdwjGBye9lkqu2Ke7+J2G5RLQd3sK1v8BPnDqwSh/bb
uB4BxtYEWf8rIfH/aXB4pctgbgBUyyGE8XfqLsIGxAa2JokWzqNxnbsOOZxK6T/ex/J4uPAwZ5Eh
yEL/8vFqBUM4DLB/hmVQHbiwRBSBFtBnKJSldN/poK91nXVpRtvFG0Vh/rK1gUWtCma0IJhss0Pu
4SMnachwIpd7zauqTeYrl5syUFbJ/PD2d3ztdfq8RsRWAd3HPZnK/IyY3cRz8UkvLlde0g/B/lve
O6vnax0UhiF7ZoYIR9WT18ltnMLxx6citd3fdJVhfBMTOtW5cJrjZIC0/g+eiqM0olyOPfSUly90
WYgC7wakObFTq2zbOz3pDlmaERP1dkO/7Ceno97nmL/uPvj/p1K5bJqLOE/xztdLDA6qRbhD6lod
TrAMrLmsdkPhY9gdRQumtqrVUzsh1t3MEpHbO7/llZe8Ssc4DvGOWdlPPiWEBWh0CwLBGR17xBWi
Gud9btfTlsAGuX3nwV9tjZMrbsK1GnAqIJO6aKmMUQDPobGARpQyhs9CaiS8rxRv0Mz6mwfxplRu
C2SLwtJnq+EcR/CPLQePaoELulwt1nQsJ8NNEYowWV34NqwXAGtp+s4YO3WcsjNgf2h6Nvt8E5nd
qZFokmGaeGTEb0IGs9xlwNevCKYQB2Ti1TEOklWK1UBrMeoKo4XRgLZOZt96EPzc4Z0B8fqvwYIW
esJjyTjtN7lH6qzJ5ecmhg/A2ximFU2eIiWNpABe6crUIDhj5JaI3LmtIoVlY0DoR4SYm38my/3n
m/nLbxEvR0uKTDtH/1tv0O0lO6yTZaQBOb3zAV7rMPQXDKhUqphvTowANTSm2HdohRDINHLasHsW
bVNcjRABzseOk9/bPfSVmY0dGmgLm/UYpfz6z/+ySXMAaNYYdRCxuqLZtcaCiHWW+p13tw6qk/FP
K6vblUMWn/Jk0E3oK2HrcfpAQgIQOk/cbdPYySPu5vc2GK8+ECc53EeBadvmyWcac9VKLs6pdii/
2MYQ30G023/oSf7VGfzQwRu+VlR+F98mfqxsvGkom5IMxPQ0OcOW8xt53W9/n9feXMDqyjfC40RJ
4+X3aTkyBPg7acjozT2+gnzr16N/p9JEfPhPmiKTMly36zhRXjYlO4goocFHUlOvboK4R1tSkCW5
ard1/vE/aAzTFoU9Nu7W6drjSBw8ns02GvMbkQpDj5sI9ct2RKiyf7up13oEGz+WVRyL7BtOOp8u
a8frEIhxDnHlXWFmwbUXjME7c9VrAxdagL8WnVhgTje2FbEBXFfS7yrUs2R9LzpHLpTpTyl1rz3Q
q2L79mO91jMoIWI/c4Jw9fC8/Fzwb9JEelzTGeRoRPkizY9tjpaB00L6zsf6/dmowWAU8Ff7ccg4
ftmUdqyw7CSCi6nu2kMaN3Ao23Okd2Rrttn4zoO90lqAcB+jUMjmBJ/HSWuDgHidt3KDptI7X8Wi
D6iYAL9aw3IbE4j5zi729/7hMfuF7ro54Zhvn7SX4ShzLINwJxMq3FdlLUhzIFHfv/25Xm0F6wjD
mCOcdzovGcbowR2lFV8lxaMzJu11KtPij3sh34d3tvZCn9X75EtxCbAkCjIV0SGEUltWDCa6qfLm
3JHa+2w3cfnzjx+LLohVBccsQmz3ZLoVXtmiROWggQGfI4C0f2SV/4dGYGZbThkO0xITOredpxUS
2xhiMnxHDo21AI1FLLNBzdohkQkfN1lofLN33uPvX4t5HX19yEmVfevpstiMKGHnkcu2uWyGS3/J
4ytz0EL/8ezuOy7eXDxxzO6cul929UAa1hiEotikhAERsyCfF6XRAXp5/KcP5CG18hlOHLzt9eD9
sqUEqa8xmI3aWM2cfZW1seYgpu9V/X/f6NMMJ172E2veBi6Nl834AC0agt4IIy20aFC0BLm40GCQ
xdU4qHKEqhcaxc5sXDUdsAWF4x3XmWyMK6t59ybut4/Ij1mnEM78zCbc+r38MSVnKfLY+TFzW47g
Z1syXpyM6K8/HAIsLThG6ZhMkB4uypfNmDPaDGctFBJKGUDk1c/AmpN/ntX+x4sTffeP/+avn2o1
/xo0J3/5jxv1XH3o2+fn/upR/ff6R//9r778g/+4GZ/bfmif/8a/2P1tP1Q/Hvusrk7/zIv/BK39
69dsH/vHF3+xq3oEiXfDczvfP3dD2f9qLnmu13/z//cf/iuf5WFWz//zvx4hlhLDDjEme+r/Gt1i
cfJg0vq31XNt4V9/8vpR8icPdfa//1f3yh/5v0wh9+9UUsHmBCGjN2Ri/6+//SvtxRV/t6nb4a6D
McxUv0om/s0Usv8uQuQm1L/Ynq63qH9hCoV/p8YhuBhcRTkWaJM/YQpx+7WOgr9uh7nMoNhLJcOh
04B+ORklloOiDhUvem2/Jr6qmIpYnWlsuOeY9XR8TUl2CpHLo62CoUJU8g6+z/Iz88ZcE7tnpT9M
xN3qgEqVw+AUknmwRW9o5ICV27KPAkRuHcorb5F3WZn14i6ZghHVPxzH8DzGcWFNHoBvzhrQbvOm
PJbkmewAl+PNKYH7BLEFmTlUXTSZ0498wMtUloP6OHfBfO5AHn5eesd8QsmfRQRcVbtgEuqYNkhi
ll/D2Z68/uAGfX9hUjYnys4Zt5ML6K/uZ7zN4WJ75BwKQ3/vfYcUYR0QUbMbifOq98a0asXEDNMC
0TdvJSJP2tgBuUxtUuBC/4s39EH4FHsxc6WjlW53XouOeD/i8Ybhn1DWuDdEqtsrctfRcmlvQfXn
OxUczk3Td+2PhZpjhTxSEGNmukA/yLmCzBE2uXfRDAowuoAUGBXcK9w5s0UmtV+6g0SrTsR5JSXi
MTNz0eyRyRoX+4LMAaJKMJ/InYNyE/0oIbiEGbgETGB6yB9J0EFOlqObJPpwGXlAvbL0knhedXHO
sLp51jDi26Jo+FfY09nVh9EV+tDPmbFJzbG+8zVxMaV75qnM+zzLwSQpiBrGaBTmVeqijGwm2+8e
odN/bLugiYZ5FdWaAjNIGqdGRAZmugUpj85fE/hrTC1+AkNBzSaqtrApSxJg8jNd0jPp9HezTx/d
BA6RQK1Gptlfq4Zf9YNYGbEegtXHMG9/+JJwvgvyL6YlElIUcbQCjw6hhwHo0o7LZt6KvEYLhdGt
sDaaDJz7tNad4D0VK2g75WlVl3TnTRE+GbzZZB/OBMPsrLAKP5RDn3yfxCqf6EWTkzxnDE91QWTd
XO3b0T1Wi/cjreZ5F1T5d+x55Sbx2MClWbMf3PQCFuVlSR5jFCinOoOI/NCVSKT7LCW8xfvZdvl9
aaj8Aq/NT7IgtjjiHGx+5aGBuN01xCLEs7nV2LCW2rrozPhxCsi4N9xDSbizYTQ1tPSk3JlxgDwp
C/GXpQ29p0svuaW6M5yiQHhbJdVhEShu9pVPTDyxleZVMI8kDlIlv54GCNqe+DQA/C4NfUWP9/ON
snVAJIZTZud9g9trY1RhfuuVy5cwF4+yI3omwtWX3xuJ93nypqo4OIloHvwqEMi4iUu+IPgmodMI
b0+S7VeZkiaDcFCN57bn1T8S/IDFGde4kPQk2akQJpAFXFsTOZDHlh/SXiLAHW7nAEK3ko0BG3Mi
zrzTsO3PJmllu8nugFLcD/0Sq4vBgtpbg6jhQnpOMPvKtYiZFAfRhO1yltRILDfIbZQfyQAIyaYq
YjM910bnLv2lkToFu4YxmPPrmXwd3I7cv4YXiAELPpxrtV5kKkJ3sbtKG7g4rqd+rwlcUGCzOQzj
9JIFAQqJ2GeoSMPz3m9xCDaAHSLMOKBIo8KE572rq2p6SMygUI96iu2v5EBMD/Acia0dZgQzfLjG
8yKtbFS3JYMfFLuhHzpf8XedwkUjS6oFswqOBNenTtMxt5ANzGYxcbUUe8KyCeGtkwmoM/GW4DI3
eTaiu01xBzQHl1AstXUcZR6TEQEIpStEnGd1TkIRwHpRNzeCKwKgyQLX4k1bdPxokwwnGeU1pPjP
OlE2CtZBKPsgyPzoD10bXnVFGPkqkHvT4Bp5VNVVqWY4qUZFjAb4rZ3XDMPXMS1vCDX9HKflrdJE
BiYt0OVC36R23++rhcBbzfkxkt705MWLd4dfwzjg/Gy2rddg6DCt58CZx8Ni1C5hlvGyn7wi/2Y2
wtvMWY0bj4xGlGP2LaTjB+jJHRra0NuEfZ+dFeQo3NbcVhwMXDm72fSCraqn6yxth0OQSzsaamyJ
reMjJ4pb92ZcGKcpJtKbkJJppGAMXLsFMbHjUFZXdN34UGZpviMiAzQKoR2XVgZ1JonDOwvZTkRV
Ztxm/IgzzgxfKoUlvIPWf57JQO/sZlVeh4DVFz1Ph0BI+zC482Oum08NIRyRjr3rjhPxppnN5hzX
n/mhMNXWFiTRlrb6WNWleR6mNeBScscvXP5gNMRJtvdcipWe2bPc+awiuDbdvdUFP60hwFaVzxzJ
FNlSoFy+LQkeNCa5kNXDAPquUvkRrLkB0o9Hj72WirzdVocyHcw7pYg3QKM875Ys3y6pQdq99gmN
wV3McNLXeCC+dUMFSxqk5wXYGN/kaOFed+OkLzJpouZVsbHRmZdH/opfphCZt5sCU/WH0pT57TA6
9hN1rfxT4o91u7E6tnC7ZQ6ce5ZP94i2fLr+NR5w4nh6N9Kvv8JfR87PBVi7h4nsLdESjOLY1rn8
EmS+12FIp8LIUF76/aB7QLpo7u2vedr0F2WOC5ZQ3orKWdCU8wfLS6pPYirkl3ZszSimnPcVmHaW
b4JpCgivMcQdK0czbdK0b57pQ6U+F1XWnw01bjb8rvrH2Dcz4OWq1PUjaPqQLmsld6m1WLfYbaph
68k63oVFWG1n7Osd5sLlGb+ueRssRFS4dmMcyDU1rjx2XCROJ0p9KChsFjsn5XhPmJmlXbwHTr/z
s1i4GF/cVrYbli3lXRedZ3wS7fTDm+0Cg+AUDx8NUn7IZsrTMjF2Y0rmaLZgAtzNPeygjZ0ntf1U
cLB3tkGeZh9iJt6IWjeAddb1s0bkeN3dWJr3kzlY33FIl1hwoJZh1TLbyNWD/NgjQfa3nZj7D8TN
ysd+9JTYqqVNmmMz4NzJ2mIeIqyh1lcsQWh2kqT0z2ZotTs/lu11X5sQ1ZdJFXcTNefvJnNdy5wz
Y9WZ+3HuScbOzbsxK+oLdkOm3M7+5N70dabtrcbY3VLb6MzvhT9m5VnoAnkdNpReW3YeRogRoR7Z
k2+6wsZsgK8n+aGDX34AN+xrojZrZ8R+61rnrVEa2BFGpmXiPTDCz/4SzXZqA1IpxYJVyyf0DbPM
k9ulXxakpNHoDOflWB7jdOGdLQhozghxarZoJuNHUJhqi6rvwjOXW5GynTIDiGW+/t6ZGLswVmUm
44qcGTY4Oxaw68FdjGDjCMnUnpRs2g4F28y9QQS32DscPRgzBb1+X+MZXjYBURj7oO7YytTtuqFD
WN/qnUPaYHleS7aMRUvMMTwTEXV45n7FkAUzaCrdTVgayD/aOGwSNmPQi03Ptj7YWY3bMLSx60M0
x+lb4R4ZwmFcYNJnxMgZtlMTfu0ilWebqsJLHExN/qkFWdbcVUsIfDkP8mwmIJLs4UkEOM6Eq/kz
mMM1tik5hLFfHbhdQQzYO/PHwlUk+wigOT/ytMPDEuS7qlmIiKwH//OAsxTwm9/0/a0RiPWQgK6j
OIZ2LQmaXmTzeRw13qJGdsaPIp54GXMlF5/DRGrW+yY15LRtuA//MQ/jJzf3fLD42rlpQmLSSmgF
wZPjFSK9mBw1fHZwBB66se4fA7fxGtJcBXm5gK/iG2TY3lebO7Tr3q5aPxJ1fD3ABI0ZzISjnaMO
K9IdNsk4iRaSzUCPccc2XOFvJMkxDblVvElUloSoeaRxie3d+iEIK45a4kZ0HribQQUKN5vVIXcT
RBp+1zzlDyVK5xtBKvF92ITBNoFFcIWgpb2oqnhYtiRIra+wecI/o6/DycQL1Mn6jBzqbi9x6u5V
wGSSy/D7AKfyMKnBPQcMwOhEjL4Vk0KNA3thZu9HsM45vEDjJmxL58hirs8xxgR7pH+XTT2w/cVk
dFBi5gYcrTY+VnDigwqRojQcbR4qUItP+Fr6e4667nZWjheJ1XnI0uWRPL7izw0yFQxStr8tWR1c
5LmUl9ycJyS+OE7/IXAGSYabqqzIEYzGjon7YWb3ti0ajSg/b8thV1odLqFMde3G4ayCrIyYvCU0
SFqCan6ci9q8WMKKTensd8fQAZDeSB8HbTsaZHVNeYNIepE3xRTIiLuCJCpUn3NSM5jTHdFluzm0
UlK1HIHnrCzvayWnD4LHeTCpFZKGIxP2JIbjX86FJH6ryqfjYjXyYclN/OMpN4NHvqV5dEHTonc3
NsNk11DTM2JFg1lty3ghfL7swn1nLWcWv/C6wpN8YNURyLY9q7gDZqrOQI5YOP5CZmwdppGf92SI
VLUPot0TR9Vk064iyeHQUG8qNrWkW0rLlmD1a2JKEpzrJgbCYeOqtv4+5MVyT9BncYBKxW6STce2
M6GH4ysbzrm1Nq6D0eiv4qQqd22s6P3YlW+IdgyfMrQ7Wz9fxFnhjs3XoZvZniSV3nUC1+JAIsW4
cdKcmaknpyv1rfrgK5/Udpt1X1IjIrGlwO+JBbN45jAddJuyH7qD6/TMApo0oZoXdsS3vhzGLNQH
ztjEZwHqwbtYnudhF16U+Jy3Wdw15+iYjbPCSlbygp/tQz8uI9Kaqp0hm/mMUAr4QqnZfuTSud+Z
NbZUv4h3skqSaL3KOiRsWHYkL7q7ScaN2C7E8x29sB2+U/SYo2CMhdhOOXD2rnW6yFtib1uRHH2P
Cg+DRGCluK7T4T51cnUzl/G0x5XjEmMnw/o7tGZz53TLRFAN6au5t7RHEMrescfr/gH2kPhELTM4
K0trfAJxUh26Jkx2Gcw/HqInblvZ5kPuJh976WSXmrrLFXcI+dEeja85UMWPXY8mg6OAwXfPH1rb
I4wsXfgUnU94QtBDH2Ee9SumHVbZD1wC2SmgHg8QRGJ2yf9h7zyW7Ta2Lfsvrw8FvGm8RgHY7njv
OohD8hAJ7zMB/M37lvqxGqCkKunoXjH0ehVVnRuhS3IbbCAz11pzjnlDOotzHCxdnXim0giUbcbJ
Xbnns+kTM0IuKk/PFIpRlAf+VXIyAEPhc950zGa5b+zROqJZL5+bYuKVbYeukU4wKSLkoL30gq47
qYb4R3C8V/zzJ4EMCbtyEzzi8DhUm8rVmJ2XubKaHTGQ9Z3NVP9u0NcnLcBnyAdLji4DM4AFIvQl
i8iQzu9rjt9X17wTx8I2sk3ZnspOvDgGxP4hmEcs/8FX1U/nZWpY4eC05s6ZUB4ihlghvUx5nA7e
Fw7KH07fcsxZilvTbsWBreZQ53p321VOCVDCXpiotuSCCF+7pviwbrCmqBvCrspL1JkB9b/t73SE
0DSt5CP19B1PWr5XbkIjYflS6GN/cD3QDaViN9bdZIpymV/4GFlj1L63jDU/zLl1LxZfWcdOL1+H
JdivYigjIVV6KPthJqJ0k/1AtY4Lu79xsU5CeUr2Tt5xXRGaX7t0rqKgopmjdP8CTZSKR8sYdoPv
ahfS7PHQBylnYGyt12QNEHtWT7fN3CzXg1WS4OMN7Z478lhpbCLYeF/9rn7D4iliNJv5c92aFvIY
4T0qnq7joC0vomWVnheXlEGSOEg+9i+lXu0Zapo8ZIq/rgnt0EKzodFW36M/waFMBzHOlOfeDFvC
W7XgLsznm7U19pqdSAzVuAxTuzjPCmsMx7R6a7VWeyrT5TqzPEzdsPYB3ixfjWHGiFRU9KhSiSdj
qYaT2fgvuUMGEkIpI8xX0ohMzWNiApVtQt8TQevSr9DpFpFY0/NBVXPYNwZHjDy9YSj2mjndQ7lY
1gGo0Zmvj7Tb8pykYA9dJ0eGLZHy1DrWqRFaHucm11vjMxkCSENJHo3HUQ8FehOEup49uzYJASZY
gVpmbkSGah6lLDHR1A1u2ELm25OIdluYOW1HPcWq55tkcUzTgSRLdr+sfYLlk+7GOrmAYLdHdtZH
ZtsdMm29DhosqchLX1M70FAGdy/4KQIW1uHWnW0jao1kfpoDOqppR/tSBNLeJ4w/XpkJfkvN9qro
AvvoVAGlXu6d9VV2N7X1e7byky/6uQ0JIywmjVNnnWdh6eZ51E9z+ZoalBc9bpROF3sYDF3s18ZC
3THu6Qs1UZmr5mAFzQNd8WuOcIRIQTXAKSzSPfiFU+vVHySyFgQxtTKcFrvfY/klcUyb0wiawmVn
IECWmTire/9MB2166sd83OU9hwaFDXSXZBJfQ5Z315rDscjLHZJKqjWrotWAfeKYSbB3SRLaT2n/
mKQ2+1hwMTf9sJvEPMVJutx1I1VbtyYPul6fEcV8pXNqOGma1lMirysX2HxhlX4rk3QiHGR86JBv
UEIbWzQzlyPRCMge65mQZL024i4FyKEP8aKSZ+E3jzmwlLDPmnnnKvFoZzXIAKxY3NrLbQcB74Rr
98ydGvPAaTeHeCN34DxONOzOyQq9SOfmHrf8PhXgdWgww9hge6/pPpfrDnXTKfdJNu2KfRoUFyXJ
NYiLnbDIU530CzanilZDmdO21xlwKdtFmQ4pQ7TrV6NDaNaPJ4ASZTiS8GvTxK0b54aUQf+g0oJ2
guNfK/yudHkOWOGs2HTWfSr9HuN58j1huYuS0j+RzaZxRoLU0lGh5KGTYI6eWtBYWpqdr433XVHg
R6vISfeDe9LVfXUJ2+DY2lpsjgZ3bHMyURIB1I9Fm8d10Z/I9SKRCtSYa1bf16Y/G2fyrYLyyuir
t2KwnMs0SMSejivLBBEfocGpijkenavUO0jPuqJ3NeyMunob6+U4VR9LqTDzzcdOrq/5or9Vo0Pt
MZ+vM0zlQPqnvpX3FomFcTOUjzi/L/RpioJlvVTJ9Crg3jB/fejt9ujLihhqf4uUzJHDpX521fru
ZT6a4ioFAuJ5Ev5Ukl9M+XhvWA29XUHG10Pq9eaxHqpkp5nLE8F1X1xkdbEwsQkoUpXvGeYGNHq7
oTnlPyq5xZE58BJGr/6eshZAQ0Gy3bfFc4aCeEGzvIWThuecPNhR7PPa20Kxu56un9Jd89UHd0wf
Y0nnL4r/uwn9za1zR54ZnnViWn3gDAQz7zt3KFzqPKM89oGk6+XjetzpVMPiZiSt149qdmtxbrNU
i+cMHmuYadkRog4sl0IUTyyZvvkgsU9WsYsHGAMuOoJ7VD2qiIehMp47QSHhNxzMK1UespxY3FHY
sOFIX8bNbeSP1UgyaRwoZpZkLDE4kINvn3V5MwB3qCXpY7E/ta79TlxKiiVh9cX9bFBUpTSS56it
UOnw09X2V3QM2hQGLk/lvR5AgbnUmCGclHJ7AAsZ2TTrSGxTlVeedfox9vtHE9HL7GvfDM338fNk
80+z0f97p6FIjhFU/PthaPguMsC4Hz/ms6dv//kfv/6D30ahlveL5TC1xNEE1pzJNDPN30ahtvvL
FiyCwAFj1zYmRT30+yjU/wUHACILwE/oEmx9szgQuzeK//wPzfB/sSzYAFD6kQE5OiPU32fBN79O
OH8dWjMb/u2//yYDYzMYg1cEtozyCtCp+UnsOJXlHNAfU+SJYtag8+Q/wkpSEac4cf+H6/Iv3mqb
9f9h5PrrWzHzdZE/oKu0PwljrMTLihpVT+jCDQoHK7PjqdSMfyYF+PEunMp+fBn8ap+NnWvDo2/W
AsiZMEE7WU17YcHa+on/6UfOxOcvw5jcsuhberDlPl03U+USO5JGEKIkWiqfu+VizLzpigxnhwA1
jX07nR1SSk14PcWIgk9OU3pycmuJioXd6O+v7XbtPn8c13EhVSCgAlr7SYmW+TXDg2YB8rfMZTjY
RXk+6169z8o2/wne9YdS9PN7wccwuXHwQiKe+bPYwgbTlHsLv6PI+4epAJbZNNZhTYqjmzlHp+nf
pky9TUZyyuzkvnamlxlD34LcpRuLU0ed+BMJz2fJy/abu/gCcM4gNkBkwtPyRwWtC9qhsEnb4pzR
B9ZHVQ9zcUZve4JGQx9twGfX1YyIs7Uy75iusaSRIdLsaolgcff3v8S/uMvdLR8E9TBm1L/o7Dto
zGLZbgwxuhTm/GQXaGOmnzxL/+L3/tO7fPrGCY3nKc8pGjD398RfN01MHHkbdwJc2n/nCwU8sFAC
gr9443oOqUld8kBNayr2ZjBr+9bknP/feBcaRohPoAcb7icFT5BKorpzDv+Ck8ybatbhSpOae/f3
77K9yqdbF4UQqSMcpoiS+uyjxcyatrIqFeMWIz/IqoVvtegA11M7HS90gHwX5tS2Z5bM5eM/f2s0
jjj2kZ4gh/r0BWvNqg1VcWKzOGdczqS3v8+poZ2cMnNuKo3mTEXuzA3RHz/jLvz1jvTR9/JsIJux
0XJ+Wqo0hW0GtN2CedjuLvOibo70OH/mZPnrpYWDvP10tP2QuemfpMtCJ6tWb6l6JrO9013nnc7A
A+PLM5kPlN7pePTs/ieW4U8iHp57dNmmCWMeVTZQlE/XVApdIT7cxCzJDPDFN6ZxuAzaFZtEC/WM
XoldtiI2/GzyOGAVOYzSAobh09//tJ/Usj8+xmYUwM7ChoA/6s/LD0NyCtCCj+G7fAprTvIdbKJu
V8KciOyx/5kW85Ol7bf3szGHQClCsrAtDn8wDCzGmtg0n6g9lRCRSbrlc0lG7X6Bc43swmuZUljB
8e+/5F9XnM12hRUcUwR30Wf/gFhtcosT3DIJs0bm+I1GN4ambZsv009WnH91PR1EjDpwC9Sfnz1t
lppWuHzDEs6rVUyxL+z6bk30Qt8lQVZXeyNfDfcnX+8vDwnns00MRkQl74tJ4s/XVIPmhiUMyi8N
PAu0s9/t2oLy/e8v4udfjg2TX4zfjCto0tj8tGz7ZmlUesuIYEoSBomBBLeZTqfF8mRo5M18R0bz
T85DGBQ+LXrbm2IowljCYZGF79N+bcilWmwLjLOpjLw8y3zZw0PpwfcYH9VkNuoKYQCzMbLBWnyS
HTVQcsIiWgYPebJUVK/5kBt3qIsLPU59GTTH3FdivC/FCI55XiqpMaBlvvzqO4WeFxQjyIOPM2Mw
dd6Yc4Kbupw89UbUBebdcERms94gbnLzMULys3YfUMCWwaIapMF+GTQjBVqPVtQ4K9LRAlFHxq9l
XROsPtT7oYcTlm8Tpc48lzbDjUvTm5R7KdDBtbupsplfOGSODlFmkRZ6ZFrjfndKn5TL0aAVs6N2
1czITTsuSo0MjVNcb6rxJoU1u7y2gkHPWRFkzJYhDCXLBbC9Kb235JBm+CwXbO/m1GkWPEmBh5sG
vGgjgorUuxMkmopgxKxeWFjm+lpl80xmuhI28ihv6updh0RC39G48AA0EjlbIyta2/VpMlnMQm+S
guuXeRrY8TbrrONa9OuT05erOpgoEO1wIi7kS6C5LenQUOCuG0xfNKZU512Mazaj4KExwNhN05A6
BOsqmC45nr7zGeTaURXQAryD01WMXzgEDUAM82kW6s7YRI7kVi0lSSBh3dnL8lrbKM3EPsgQR37v
9EmcrNmaSclT0pkYLZLzIPsWnmdDANCb6uzkWyGCxg4FkfNGvN0lWWj0avqqqEHzSANQjUQHMJ59
vnqMpcO8tJ0rCPVDFzqW8G+RR4I4BNFst5cigapN137R9iSqpwyDfVXT8UNqTkqqj/CcdGPN/d5S
BQNungz4NMg2pnd97oN7m1TeMsK8k2SxgBMrokER/UVqbQkyv1HlegsOosoPXi3ouwVJnnzN5sHG
nt8l3hRXbZ+85d1orWflkIyPXEhLxVOfFUacSPqyinLmvhztjN+LMO3nlpuQcdiSbf2C1kufuiQZ
G9SbU/GUZuBE9+vKgCoazTRTFwVZ81d6xZKNXE0SCb2MYH/TyigfXeHIMhohGV8lTg9zEVusCegn
B9KxG2oXKSDtEtHsxkEDzYsyb7kHu4xaxmzT8cEn6oQgCTCMCe2Hfn3uMq/5aOQgq5gN1W12s42l
CHCaYz2pljRWCOV6dZoN3jdscNZ20FzX4LLtesSobstNzYgTRVw46Zl3BreYmaetS+IgZTmwQBtU
YRnMHj3tSZaYuRvXeRr6Y2P4rCfMVElxBy9Ls9Qui+Cbr8GXjSdhGe2utvWW9u9m/I6gutmXuVe0
wU7L4MdHxdwRy21XDm09T+Nms7QuePG1vuyZbvWZChExGv0usemtojBjvBBSX1WPA93AMkoHRx9D
JLxdH1NsE4QSuAQu8wDBkqcyy5Qd5rWv1B5YL0m9OuB2wDzaSrfcHqyquTS0aX4ixK2+RoXgsR8B
UqSB51lTiY22Qigwo+rEQOrXQR8tGI6+pZ0BNNdJLJLt+ViCcN52eKq4eYyDNizc55khV3DwJtKf
pVETeI6ycL5XRYmJe/TBpyP47MaZJxVHDEcKq+7iNEM7Gbr1khh0ZbE8RqxRorpdmoyWFyNgSUZf
YiLo7zwA1BBzXYm4S01YtYU3MgNyrV4Zu9manHfwjZk46fgCUNe29vzUyUbnxzWlOcbCkPKyDJSW
7NO8cbqo9dbqaSwq7dkc0TeFqGXLNJ7XKZPc28zKoyWvetY/KVY39Py2vTETaaexM+nFtzpzyzcN
dM3FkhBfHHWapFnLotLQ3N2UuUhw1Yei+XWphk3Su3BN4qpy+G0afMKv+pDpWOg5JTPehcN/5U8+
fEk9ZzQdDV6B9GKQY//C1aAV7GUud0LJFKiNm7wdC5JRraQjmSCdHO74RA8ilL7KRbyIEmHnL4sc
STqoacsvSw7BWNMSJz0GiT/x6poYgMODVL4K8rG6solOmQi7DxorbLXeuRPuSCyX7dS0IJMpbXsG
aNoijjqDw/aiM9f+xXU6q9yD310SaKPVpjGeu/TbFCDc3KbGZh75Q46KmSh0LPWG1xvGlubNBjcY
ekJaAavog1Fxt6IGX4QIs1KO33LLITagmaVzDXcWWnPDIlHGk45sJ6bnsCE4leRlG30Uz8xlpgCC
/4RVzbfQjoauokhBu2zl94aZFx8G8gwzQmTChk7WZW+AwsmWOxQg6K6V5S12bC8sncfeXeubrBmd
R275Bma1hjU27NAykY+FoOrZLKpsjPFkpkW0GMxvkX77/CGTPvEm8sX5mD1DQzIwjjnZ03YvjLha
C2c5l81QOLux7VEVjIlpl2dTsMA4ZJesX8zexVicl6npH9fA7Y2oqYdxfVgGLXhgLarAd7lwXKNE
WxnzjLr1lZaBNvB9SVUIMZ3pm6knsK44O4Ck7k1kUsx4GXxKUKA7WPtDd6QRxiqskQHfHHtdG+ir
ounnn9MPvuvXbWQ3OB3EG5NewkOPC+KDNhC2AHt7gtZ0EMahNxe8WCLLt6lvOw23NlsfYwXATtCA
G5KcjmPpmh8tpGp7b7rslBHMZpK/C1uk33zAgC6Kpym5RmmalHtpoUWOBsseDAR+s8sovKVrPHXW
DP2ST8ysnZnAY9pzRI4ac9SPcm4Rl7P1EQ+fLalxSvlN8r0zmPqBEWx9sIVkuE5pMX+1ss61bgtG
bDzrDVrz2EpHBJfQIFnObU30bSjRW5I5jI6P/SARdKuLUvOvBtvbxLzOUp9ltVam7JxK9ZE/2Wl3
ltmVhSCGfB4T8L/ybHwDW9r4oCvz0e0RLoWtY1RfTCQ5GCW6lMtlE6H5hMwKIXQr4dLuOp3Qc5aD
DumaIEGlva5oa5n7VB9T4uH1oejeea1q3gU9457Y0WeZsTcxq9v3PSExMZqV+susmUyoPeYoaHqI
rTd4ULDN+2GFnXt8XvuFS5RAMD0oV0zvnfKWh2VqLcGxCnxOxPEvSC+7VdTqIK3SS887Z07sHaT6
1D3TaSh9G1vTFshmV/01EJ4KVyttFnwBiQ0b3TEGAtP5qVEs+gZCkbliygCGEMl2U7vfg4ai6mgM
CrYM+O2q5jQ5UNBVTrG+NK1lXcyQT2+aFnck++ncF0c9d0qw0BLJZKxU0TK/YJQV12RRtyg1lP0m
GqIzzkdyJ8/JG+nPs7li+fZKn2Au9mRyC/tk9K8p2lVkBoN5VLUg2Hq2avMx61Ok4DkY1ZfcbtVt
47KA0SmR+tcV3hlkWE3676uxCM4UQ2E9oVxo+ngYZ6liwLYtm5IQ5q01JfVml1HeuStT8TDUnJjD
pVv7c6aoAiwwHIjdKlXhk4TpMJO2iSIwo4Rd7CTzIr3PpOt9JKM23glZerfw9I37npFURJPaBiOd
zZLfpx69l6RKkYVKY/zIy6YiGUHlNgeXQFuvNHxvdmj2DqzLxq7FA2o/iRQjr98yEO/jfmPi4FhA
DO6yjKTuJd8he5uW2X72Zk0SaqMrAnFdk9n/YQn85n7pVIaSbMufSJqGZ9DljuTe3wStA8EZ2o49
ezq3h9Z5U0UWfNB1at5Nt/Oda4PPv6UJak0Z98IdThmDanU2V/N4i1oBPHwiWvHmJDN0o6IyM0Jx
6yBFUpOx5Tva8kCmbsof/RDuZi1UZb7tJurNOHKkV8rUJUD1XKBjwxDkrNEoW/6UhgJJQrqiKIm1
CkF9YPfzlVoYMoaVbVLKYM+hHuE05t0O2VJmuI0TvY3SYpLthn61fDQ83rjscJkAmk4SmbP1FH3F
ghd0icnf17ovWakGLRz5m+8Qr63zgQSYj1zKJcDwIlCcDWolusSpBawhWEpFTlSp2d83bIEkHTnW
8K0CdP88aQO1BcHwHi8xdvaB8gdFuUaz+250gN5E1aRM+NZFrQgZyAM4KlOq63dZJm28MB6KpHSQ
m6I3bUSJ21LmzQ4RJcIaP2k4OWXDYA9HsfbzPcTg4s7G/fTRDaZ/aREv7e28sZNPVZtNSaSLurqb
mGbzHmWQUrgWpieiTPP9My8PuLN0jaZPSMG5CA5grLLaZJMQMEnEfSjNa/8rpHrRXVS6Vz6PqPBM
dtah+mKUK+LTqu+9d2sRugDJmPKLNn1jva66AWNQcMzxYlWUBofDyak8gPgOmRJdOyPuH9vOoq3n
5E9DarEIZqS5eEdNZIo8+tWoryTiZNIpGDnZMa6P5TD7SYKuNdf6+5Kn+YyTGkx+zXT5uD1ngDRW
zlLeL+i6vagdJnmXotXK9jPJRE7UZpl7Sd0qvvZuPzzLYWMIFDKp9biyu7bD4GJKtlmt5CY3MtnH
QaqVb0tQoIbJMi/3QzQL+bdS1i5Ib8fb1CFD7+Wx2FI9dpVdpvNZTwZmsSMzt/na9Y4NXZxBa3qs
XIuv36WJvC26pUbZY2wnUZ1hzBumjjbbAT1bvvDK67uVl30QIjUCkLJNnImkabWhPID9Lxr4rJqf
XmeasakFTQw+oawm7FiicrOH1qcGjee06r82nZ1Ro5MsDkLGoQDmrFBl1t5BKSz2qkilR9TA6J3Z
tDvkhTt3JE2Lqq85mRa4D485Qhk8UXZAGsE4e9+0ooL5L0u9uHU73aXqm2sA8oOp+cfO7jwZDaRz
Fnjv3eRs6So3CK2igrdf+w3/izCzKs7IoXK8uG0n393NKEgekbnN5wtqS+5tUUxGvx+7Kc+QQ6+L
VTIjyBYe+zHHh0DDIW/T4zzk/ivief+5CPz+xeqb8s4gd6sgBw0dHCKYbMwiElKIzBRZ0H1DtMxp
MMPeiDprrV0G5QtH/9DSE/zTC9P2s56cRJovc0+x1wS6yzF87pdzOhdq2BVrIO9IftHugjEjy60f
BsouMQTti7vYy4ejcQilyFLmsyUABuAd8cqbacqcfpfWy5BGs59KZ1faRvNRr5lNIE9Hp2iUWEhQ
6izyujAMxZidqowsiHXVrsbWpqFSWfZ0MKmxEDGYyHP5NWA8Ix9xcnatbtDqOOfAkkfNrNnpwQ1W
4nTSIclMCNsmkhF0MekzFNlUj1dGcBih6F0t+75i4h4N7NlGRCG5nSDtRHOIJ4DLvmefI95Dqt5E
UQJc7dtC3AN14eiZr0s/mMRvZDL/4rSOyClLNvVobYsMzaibvGtkVjyqhN+knymNyNprUiNC301M
DLqUTqoyThKlaNnoadCf3LTvkOjTy5loeAl5btQN3kwKqf6r12jJu4W78pYHmiAmikH3DXl9j5Nf
9sGr1XAEoveEKyDstCX5jsMhebbS7aQ7ZlZypWkNoJWyIioGIpRvxAFtLQ7/0N/fsOhkRmwjGb1c
eh6zrb9D2e87ev1UBaV6nbUGRr09jHrK1azlyuo4IiYTTfVecj65KeyZLoeAa0k4dWJaV36SFV0o
jdlK9iivR9R5VF4LS26elvHCXnxhjyR41RGOBNNCb0jy+sePVu0/0jb8P+H21jfm6b/XN/yP8j1t
3oc/KhxoKPNPflc4OL9sYwgAkDSYgTdvnfPfFA6W/8sWV83oidGQ69o6jf7/o3BgyMfUlnkCeGIL
N8YfFA46Zm9E24GD1RsFBAOVf6Bw+LV3/4epH4QgUgzgVzCVZURDffDn3n6f8iwlaboRwMhaTBrN
U/cjJfG6hSiZL7O9OuVuZOUyr2x/xSLb23jLsD9PZnJY5xUdmVzqwScKgSi7jNBiPydni03jYymG
8t6tmbreC+lnb6KtdW2vQc2+n2t7Zt9MaVaOTd7QcGvb4lwLBHQ5i3g3hD+sOd4OfVKZoxn2kwsh
3bR5sKrRvpuWySMmRJdzfmS0NmTPQYVvc18LXSeNim6YE5m2hgrcJkot24GrmyJazj/UbcHTIvOR
8BK37YsHsGHVnZcnOl4XLU/PyVlzylAzSnnrozkvMfLOnnnCAdnXWPva1A4ZlHjfO9HNWuwYQXUB
G4zqsxCmem3tbKD8aBfMkNiQ5oVz9WAo6BEGGth1Vh8aUmXC4viI9Q7tbdPvc6sI7gXcB0yjI/hp
ICLZiLFMbUtWO7l2FtetLJ7ndvDL4zrZysRXipiKhHdOrJ4uyF6iszxAsJBU0TYJzq/jspArmZnL
pO2M1NDx1kxk16GpI6SL3nNQXEn2i7dsWi1JRvGMjbopGnExaRntyqGQs0t817reO6NdZbvaGdmN
mlHKOpKITb9PbGUK6bg9k8VTNcg4HciZw+Nq2IiGlavnl31v53kIH20iHYjkhiX2yUr5MrBsv9K+
au9TR7ff2U0VYYB52193DpX0rmq2T4AZuLWOCTmPVx2iAS2eeQV7R5j7HFxOvYFebAGZ8x2Lj/td
4GbBBt71+W0th8nZd1IbEMXWZK5dKkPH3ohVjFclS4mWLNplcBvLj1btuHVtKy8XFcZbh15CW/va
PS6gbI56R6kXP1DrcsIY2q3bSELNIak3BIVRpmCdrFzQ5Jyi/Ho9m9WK8LAcRLJCS7c1gtKMqY9w
0LRdlAE4QSus+ux29VB7r2lOEm7tdsY3L5f0ZuEGNOa52RszGVEcwgF+mo7zMAIr4QiW9RzfPeIX
vlrW1vdFR5RPO52noQ874VjlkQksYypGLADLW63ppqhEp2tEbI9ZF87ONATHjGLGObio+GCq40N4
HtmdKKgyn+wU4Wjdz6JaPk3XNvwYMFVzW//Y+HVvG2b+YRhLuBINfbIZw2aQ7jdjtsWpHLhyzBDp
ovxh5f0XCqrPQpff3szdwj94nODF/fnNVOOvOH9hYsPkr+ONFaVFIHSGC6KRuqslWRp2ymk6+kHO
6SnLzROxYeWvo9L/vzN+4qCwbUCuYUT77zfH6OO9/5//9ce98X//o9+3R+8X0wFX4puk+NhmsIFI
fhcAGr/YyJV0HSwaslXf49b6fXs0f/EgLnkBFC4DjM+mpvhd/+f9AqucV/PYIDfak2X+k90RNeKf
x8M2QI6NOLmpxtiP4RD++Z7CB0f/PMsbOhhSU7FH/gEchbUbvi2ywYy+ZT4dfCOlFkgzc/7CbjF/
QStUvEuvL+giGSon5Zql5cWasul9yachiddmYG33pbd8S2nPqtieSSaOu2xxb3NGLNhvCCSgbcK4
8PvI7X670H1CtZYk7K0NKl4Tm5ufPCYcTimGC42WhuX4/U1B7iFV2mpaeNVHaTRRtigd317WmFdG
kpWvHNsve9LQ2KZsPC7hxMkcjTD2Gz/s10U+0lPSnB1Ws+JmzZWcY6LqrLM1h/JHHVDWFDk4ITyC
jermjGF5ydGzVdnbrPKqiy23Ki813R3AtZSrbYZZkPTYzqU+no84BSyimUYmxZltkvjgzoMpo35O
xjtdeNq72XFe52xLxFXMpWvfp2EYblqsiBqrH77Aw5yvaRErUIaXFsl8jJfofhDT3Mnp3LCS0iF7
tBofFI4wcdi2SSMkGsA+ySxbJipucmBpuRWte1a5C2ps3I/59xUlDZFwHI+G2C1W/WwtCz84UOPk
D2Myele0EpcubDO/eq9IQq0jdFFdFydeol5hfzB0hGiOxi+j2Hkhkaf0Q2v0OsZEDm3gSBiJ+Aqz
q8A2oImivq09vYEoaE2ekAd7YHZC/1kJ6z0v2/IFGxYTM4NsujQGZkp9nAdWubWQrdGymLHoxes0
reaVoj/Q04DGSxDxgbTmvfDW1TtvLTdxLujaT67ER4+EOqoYPxTHbjAS1YV6swwnmh3aGuo2IUbU
V6rFYewa47A3WqNpDg00Lufge9nwvEFcmp2D4HHn4vlOdxi8aJaURkDbzKqrnsOWz65Nqc45JbY6
t24jarlyuSH0jHYv001GdmD3Rz/0Wb1fLdpAUBCMgFksfV3NupLoLlSk1Qx0OHygygrTdjOoyAAz
Hsk0UHl3A/XMsR05q5wh1RhLMpfoGz7wcDVPjtzOOK2ml82VTMfSitYt2BrG+hR1ntJvtUFzkzgw
E+OQJAn+QsGUfjkY0uiNpzrz1nLfCuLswlaXGPTyflK3nWlbb5VHeizgnTQPGMLSg3vp18AvDoUv
J7q+AQRUtP+bp8IzV/+NMw9taJr5bX5odNRsJIhiX/EaWbcvSW5Ml7jaMQiVdrXcLpzvYecEGp+S
2Xx1TkrpRJykMukikyEsuBh4A+8Lr+kfOneLJW5m8zWlsIBRANtAZ3TMPXQ0gmJ4SqvG6OCWd8ar
kTWaua8DhLcsXDTe0oLHaRdkSfmV+69cgF5I6y3XrOUFcQdp3LP06keYGQgMHNIOT9rowZwY2mzF
OVKvxC6aRYF0SwblJQdU19llOv6xHnPLsEstOT2R3lzTF5k5NaLDb5xLOhHuDzWMW5xGcvn024A0
URoQq9MTu93Tgw+LbotIsJnygx0CnPeccnKyd02XYvfU3Srh7tFV9z1rW+pxt3NINa0YsjLkNIop
56xvrKxxmuye1ex3AYoIHzkx96l1ofC6+/FqKG3BL7k4QzhjEihiAEjaNVquBr7V0FgPfu0Sx6br
hjotWWmDbNJb671Le9ISnaqR8rxizFlGRWXrT0MOIylyTTqpcaUm4uaqlpqFoaDdHJM6LW4D2M4y
4mnr18tiUOpVLgVu7MR57Q2LLkWO/KMINegQAwlhtYqLKqEhtPhdo/ZFT2YtFVBLRwEdq1tGk6XM
mYXXVAVtyxHcgGWTEHvUPB3Nz7TFB848CLdZ2nEi7GxzuK76pX8n+nye2RQa8klXyZl29pAvEFlt
FWeeToqgZZfeZWHK/8XemSXHjWXZdio1AYShb34BONydpLMnRfIHRlEU+r7HnGoUNbG3LiLyhUhl
Sha/71VkhkUnCu5oLu45Z++158MS96l0LlTLeMzJvL4LHV58F1CqnO8llY8gkybJfbp0Welj3Us7
YB5dXp4xxmyjABy+me+IV8Hj3RZQz7DoMi5x15zkLPayyXCbxRUwAvZm8ArQozDKZpmi4zYXndV5
8ZLrISiEnnk1r2i4VNLQ5bcZMZmKB1tRGd0w6aK3lfoOQ/lQV/zmmbzA92kMFdtUE7/VPYGzPs19
JAJ4OMmoAAPDNn1g+MqrFt/25K392v9FSPxH+73/910eW/TLf97pXb+2r//z319ff9zrIbv5sRGi
/wHtDhE6FCnyzShd/u9Oj0YITg+2eMR1ydy0wk3wr52e+QdeDiHPBbVKQwSQ8d9bPfsPjB4CMMs+
UbRIAOn9g0YIQsbPWz2VFiUyWVWhGwL2Uoggf6hVMpz2SZk3uYtZuH2slTx9aZUhukcREWL1zBiz
HWGAh49VLZvfIpyn94UqUsy0OuzPo3quvlt1GZ2tdR93gZxaCrW4rrSsYxbZtPQjQwRqS72ydmea
A557ZMROyvaQXWMgG3Q/Bjg/wyhpk69zWSERQACDTULu2ire9aEC50rmZn8uyBJ47kzMfN5o5SoU
ZJyFEPC0cGh8mPnt5NNzzi+nSuVpKIeExjSYqi73mWoscGyqjidNTgHOnI0z635WoyKipmQBZeqy
Gg92N/CQW5lsoH8aB/lWw0utuLlelxdJFq3xJekCzEOtOVFfZLo4zQFhLOnGsS7l18zGpjbowrA0
SXSe1UNDRjfGexnDhdsyLy4v7Qn+h0xcIpZifVbfHLtwCGmumzsAYNrsh6geENH1SnfZI8jS7+Bk
6Ou+KRC6smWwYTgVUD6CSEKzfDQFeVfFWvwMeot26goh6wSxNHl1GpX9Dj34ZfR15nxIjrpKf2Am
uZBUYiHHcM227yYf3MAQ7jWrQL87dDYe4oitDeGtTl1cyn2JINGJwtyfy1XeVWEHdqvLTR1n8EBz
ItQwwGFlcfLVw30qxb6pRBDnwpUuEfSgRCGJRS+V+4qQ5NS1tKgt/QmWyc2gFbbsIntUG5HCN9iP
dRVFBQdTq+912TbxIW0RsXgOCq4nskP64ahGU/GcgUXQXOi2znFeFFyy47qEX0wJ7Lc7SkrW7zSM
14TfjUts7VGIdSmTPjXltstDWjdhacTIiAD5KV7SzeGXJUKlSiOGOZln5LX0YPVdchO2tT548EAl
m3HhDKGthYeGugh8g+XJvZI3uyWT9D20lvq8XOZE2rUyudA7XAqz5KHLy27BM1HvKBHRledLZRM2
XjP6wgCkpUl7bPBFhrumtfNCGAGnc0hOMZGypHd8zSiHxMxvtTTYU9ggPD3KmxlDvYy9tOJd+kXJ
q+kLVlftWorzuKBSE7j4ETDUKTWS8Mmyy+U7yYOO4aXMYq2dE4JEwgmdyqaXquWUetAfugcuEjKT
mVKmJ85vAZGmAHyqA2q76AXiT8u/pp54EANJuIpWlmMRLcbGF9bid0ljZxuMbTdeh5QM/HOU5L6T
DPSezDxEXyNLinoNjTHug1pxrGuNSfNTyYMLz8WR0Qs6GsKPY1XpE9M2suGMHR21BSYHERgkVulW
RLJnDpBe6jIkAZOcLij12nRQ2WOWBIkDs1KuaVxZb10ZI14p0DD4kdlLbzBv4i9s0R9l3DCwgShZ
4FDiCr5VkUPcKK28Vu6spoqxz6hwa89QJEZhsuOs4M6cNU/8tVWNipoObbOblM7SYx+blxtk2tb3
TpMZdcdxaX0tx6yp2HxnBHYgdQkxiWsF4cSgxWwCM7baD1BlAUZIlITLVFAdhmWoqW46GS1Voygg
YeXlDW1PykopWrPFK0Sx2aS0mvxkq0GXrR5VRGk6sniyldDL7LrV9NCAkARuIWJuwuq6VbcZ1tbI
hZpH1etQ/8qiEMZiqlzGW3XMkiPjUa+4hMT7DM0gJFHtdbnV1c5WY8sVT0S5Vd753FCFL/CM8vNO
FOempGvf9aGhYhcCSRSuY2HeREk44EKV536i46hl7yol9TfJjBB5VDmVHGuECvnEmFPz0VqixAoY
p+HIWBwyuiE8sEPb8zZdbZ+ZN/ARgu30YzfLs87ev0BF0i6d1ZxJ1JnnWt6NqYe2m11ypeeIF8EI
1qDzYjQT3pxpDZ385jycaZqchshy5F00khfhQkHOqNxg+C9eh1J0cQkBXe4nBLvNUY+U4bKNQ9wU
AwaaLxAhgU1oimGUZzHdPmzGWWgEeZQZD5XWKO0xgqkgcSeH8wEmRT8gxazVd4on6ZL3CuJLJmjR
AIm1ng6GHEJfBB+InI+KQsnZ9xrFndEhHGsXKVyAMU/hg6PmkCQYLZDPxakfWsgHQ9TR0cU3zu1j
t4zBUPy4OLnpvLZpyNspTjV1N+bkjroOl/UGiXV9a8zzXPg5k+h79CjFo7pq6ATiVOmfWzNKzpph
ZvZsznZs+Dn9nQdnhDVDDyck0TqjgkIKX5vKKcpKgk0g4iSvlr6GD3WOf89dYSO8aU3eNq6Txvod
zD/OW9KN46saLdI3ylCj+rPn+b+7zx8tw5YtWrn/efd5m1T/9e39v85ey/ekrT7sQf/80X+Rl+U/
4NqrcOeFBZEEQHZ4/+o26n/gQNZI47A0+EXsAP/eg6oy+1PGbQQG4oDRsDH9vQdVtT/gdgtisyaC
WcXP/YM96E82Gzx37GRFgcg+edvs/rgDRVQ3phZYNY9q3tg18bj6dmiu+x9Ozr/pk3/qydPxVtks
y2ya2WrTtfnUJjf7RIWuiQRIYg0KGKTEbqGAlo2jZfV/fajPX4hDoawFHWIplm2xOH/cUuf0fWd1
jNgHDU18XjllSZaZlv+m8S9+lx8mmOIL8XsrOleIGRB/fDwKXoassDp22z0541ftrMItQXvvyYta
XKV1UTywrivXv/5q/+Ys0mSmYsCsBF7d/GRWqpZWazv04aADmSXSRaIPp/fFjdJL+Z8ggQ9k9R9d
6JvN/NMXpG2B5ljmYJQnn65YvZq0nNjBMW4bS4fBYt5BrBIUG2PhtXoRWryDlazunkq7QJdp00s8
LSi5BC0m6yBjrWlxDckyfDT6ssfg4WTgJ9eWQsBHQqPeLGhzCbnqLF4ZWpuAJqtle7799SlTPlvX
DEuTGY7ieFAY1vDnpwtVSSlaRIuB4cRrgjbvuphPwJq1/gFJZXSL9K9jG4GI+DbLpkq/UAo2iHvT
YM4b6Kk5vrYZuJIIB4/to2/KT2uPtxGhoWa2v7mpxDn9eM6pVbmnAKsTXU+40MfPKg2UBrJSzx6y
3OwM7p/qSlNZPHdaYqDarkf7bKlVxnYJXN5fn6efby2NC01wDn5tLPSMMD4UolLT0K1SJuaPvf3S
rCPoTGWQr7IKBsk/PpKK9Q31AYmr8k+OOzwgRZ846uqxDTWhAWEH8KuF4bjLJO3918f6eS3AXYcP
1TKps01UEh+/VWTJc1HVsPWseUFQAH6UjnX0Gz/f5xkga4EGSEJj+IcyQsWA/+ko0AO0dB1GlO6U
EDMqNDdF+upSrRdnDLsrDCVhvlOhd51Iic3fjWJRfrPqKT8vSHwIIalg9eO98dnyuiDZjaqmH73e
rqXJLVY5PGe4OuBxsrKgCEUPM4xM0FOTBj1XKs8wD1K5TPqsvWD0QkCF7uHQ2GVxHleR1KD4b40L
7BTsRv7xVRFrJlEDaPwV/bOzE+cXbLUc8BgUkwG3os7nA4Vy+OdHIa6Nt65mM5YTs7wfX2zRNAKd
WFI8MXHag7hCEGZUcMt/fZSflxed97dtKDhjDV3bwtp+bOAsWmb1jjZ5yVRDl8YS4CcYMPBBUUsU
wxwGvz6eGCZ+XiR0nUUZfxQJWOwsPi0S8uxYyLNaOPdNHdG7dIDju7rZdI8aku9klyJtN121ygUF
FJL5fTzkDVgCA+k3CkLHRsoHfGoHOij+anZp7IByb+TnVSrlkADAeZ5gp6bDIyuBdNvPDg4S8hD4
gaYbDpkz6O+wSnPTJT3KKQKaJuQrOYvC9IgsWqZSvMC6yg8dOb/OyKZDql129bNULTZsNuYH97we
59iToY59acYcpXZuj8kdYxT7tqzoB3lWTMOBNjy476EKl1srd7APtc1g3s8oG3ovyWNq1DhPJRVk
a6/vCwyMYPXGsa+BCCC/90CcOsQpKuX4rJYyQoaUSMVzGUEqDKDMgi7Z4DeAjDRjZKcDbNdP9GQ6
xjIFPiY9BY/ud2avp/uJLPqTtoiJZa3xyzAjYKq3pWJCwR7O0flgpLkE3WTthi/OssjNjmlm+mxC
pwV+hjHh0ckjQ/XLBGJ0vljKd73Wwsh3SCvo/LZ31kd4ulNBNyU3In/BVdaeRRjx7hSJJs5uBfEV
ejX7CRWb6wRNrpyI3nRliN03GWbZlTMYDd9a4EyjOyNLsvxhHZVLVFBt5Dpx3T83qDt6ksukoQWB
jVIlaLUhri6iaGl1luJeTo/A58xqoH9Y5MlDFTbIW2LM5ylD3bIht4bVD3RRtMhuqRl0lFLk55Un
g1E46+lQUWnX1nzsIUybKNvb5eTohDcHzDKBziaNscg7I61kfTe22vIWWxYodgkgOypgqPup32UT
zYVxjhUUJFVc3vB4W+2lsjhDSgWYSWCBCRRb+lcSBMzyGlcB/XamugPTQCPXm+mItXA2zyHfheqF
2TbzRTgwQvfqSRhdzHFdgasWIpsgwYk0+ksCtphhJfIx2mYJoCcc9emDIa8d3f6kshwf3jQjo2VN
oQM7qRF/5fWlUBfLQMG54cKyDkL0ssMOSpf5BRE+zxqS3/a1Jc/ia58Z0wKjLuaRnOLJekQRsyoX
Q7vEX7vZwHTVIVQzIbfdIfahfRHTcvzGTpnJZkjQtrxTldimc4nDygXoyNxpjqO1ZVZvz5arrYN8
gVxB5V+jhKVnWJPsY3WRbAeSDOHZtUJSC1wFyZzjRzoPhounOKdBuxjONf4frd8JH625L6PO3q19
y77ZBijW6Wn1ZK/18k3F/sKd0y7LawEqBqgDXlfJG8vWyd3VtqvHPE8AbKlNFjGJB8G1GxMjn71I
RbHvz7PRns3ylMiXCIa1s2qUR3ybiw7FMCYlKPXJGc5u9NRZsoBtWXrTVUxY8FPOTXMhrlgVLEkk
S5dodbOEMBjcEp7kaH25i6YF/xfDJdpZaegUV3VlrrbHSocVuyxlixs4l+cIlTjEawkFwUMha/GA
YdQ2e09tlBjVoNHrDqPqsroipZqWNFvDAVxExVmI2O/lHubvGh+XqUtAzdeGTAnSgN5mcDbTFg+B
aY5H/xp9OVxAC4D0VZOpIBEhiRfywS51a/IG8PvzdZO0ySMwNdpxs2Ws8VkxRvWhHAp6psU8KYOf
xu18lWo2y5vZY3UO5iWqZi+fZ+vObtO0Oe9J9kZhrep0YtMWa7TPVdK7nbMO5rlO6tLsKaU83heD
hRV0sie2t1bRxHnA7K3bLU1Wmv4ktcV1N0WEzzhFnba7IpkYMix2N3vdXOenoe/qV0b/XeUhqxzu
UIPXslvDAn5Ekc5ZGgDyRy694eJrzPd+k0lroZfNcPOtQXza+DU1WIDjxQixWOE51ZcZFkAcZxNT
g2ykF7iUGS9OZ9BW0XxbMbkrCaL+oOtKhh+pNUWXgwXMfafUqUV2Taq8JQqpZ4EZh3S+l7alA0Ib
04If24gcjyiT7Gt62BIAQXrj9w1SamYO62ikvs7G03YhMhBAQA+M5mmhtTnBuoN5CU1ReV5CVN2u
Y/dkRvz6nf3zLtRW2SUI2guvc0JvP+5E1EXu8lXtBao3ic7SSlqP4Yw44ddH+bl4sBl/IVwCcwQT
6PMOvmKRjFUuIKBoUqYwIDrQDlW0qrYh7Wz8uzTA5248hlL3VzDc/3aEfugIQX/7NXbuOnkd/ue/
f+wE/fUjf3eCgPCYALFgHVGVmGwl/9UJ2kaOSM6gLPFO4xL+0An6w9J1zXLQnNHV2Don/9KdKfSW
oM4ZDjB/qCxE1f6TRhCcq487S3RnKLEZhyqWhgCcLfrH+7SrW8kxSyT/QCQT5bgKt+raFZggauFh
jdiQQk+dDf2hcJIZg7UO6xVytoX5FY8CPtjNEpvGEpJW1W6kPJAYcF2xlcVAKyOw+RZiWM1dChEQ
6nlvhHrAQEt9J48FE24yK7DYtM2cu2hGd6PQiYr8scww4mtMb5R9AnXGQviAw7eUM/t9YAh33xrC
FgEznZcBE4z4tlaRxriSvfQDkyN9rQ7WZiNWU7tvDsNiMOZYhNO4XCz5K/Rq7MdSXemXBTjQ1M3C
hB+3NrMylamOSwwHM00EzMy870CorsLjXG92Z2ItW8XLNhv0sIqYkVK4o3mfsDWh80F0RjxaGKjX
asyNXUGvAveNmocxKTl1iJ8shgCNkCBq/N6IzXdpxZY9bg7t+U+39ubcVjYXN2iW9sti10O40zaf
N5U6uLdY2L81Kyyvtc0TPhnmqvva5hXvkHLc9puDvNzc5PLmLGemmL2nDMPujM15bksEMLghCGtq
wigbHa9ygG22m2e9Q16PJxo3NHRU7lNI1FKeiAUFu7tmNHijeH/03/IiTWJeyCzyQbQCE4gTXWa2
qUQJIyUUhCj5DYlOD6le2hV+7AxhXx1iuUe9qHVuK5z4FUxpZkybQT8BCIdISl3bp05DzHZhJthU
D4MBUxArtI7Nn6Eclv/c0YxbE3q95qIFAwpgdFpx2Y5EkF0ynU67vS0IArQZsKyhkLJvVL3O3wCE
at8mmYAkD9pG+OKMkp37UolqMpVsU/aEFwCDIyrGO+AIEfj1dDSoNORGvVGwxwMLac332cxpM9rx
Itl+gRNoz9inRvOsaDf1uGZXjUYWyVKt8YNZU+n6o6pmb+tcIlipW52CPO+ekDLW2LOH2lKCIlOV
h2VphjAIs2S6mxyFDeG41vmF2i9mh/pSta8InRq6245aUT1wH5Sma0/tah1pEMiMGFQuEXxTrH7E
3y41+8fCaOddXNgxI6JFrfp9Qb4oU75yLhHpTH18RU5WM5zKwlhgD8xdjKJlU+gscZJL57kQ7ozJ
UlonGzVPJWQ9/WCi8JGF2AfhWwzhZ9MAhVbUvZpj3EPKbrNhtwi5UIUDCqeXLUREm54oSoS2KNt0
RqMmNEfSpj/SNy2SHM2YONdNo5RveqVGSJeiRKiYsj8VTRrVAq4n+3kSgqdcSJ/kTQUVboqoAUnU
Dd43dFLNppkaCqO+aioJJVW/qapyIbASSIncIwAH3VW7abD0StdeTUlBmUUTXxQWQq+VbNKtiTrJ
q8I4ul42bRcCXS4JUi66pRTizM6QKGgXBrUaEdWbQgzQbvNF3XRjLKJoyACHoCej8U5fhpqUCZoh
JGf2Sn6fW29KtHhTpaElD78Ym1Yt33RraSFTkAyt1cGf3rRtc6MY8k1mT2jeiLuwq4NuLMYJBUiz
ovlf+OWU1cOjlC0SG8A+i07UF6jpKrasJz3JczJNhNyu35R3bZfJ894UgrwIIxxl3SbTw3Og7rCz
rE+pkPHlbV4sRMNt4j6h87M2zV9bx8sFyVUkjukdosAK1GnjqkIqqG+qQXzLGE3iTU0IXwvfXR6F
512ttPdyJKV3aZ4ktjtvakSitFAmlptI0SnQK66bdtEgMO4GuyWKxiGVhpM2wjh5SoTksbIn1I+p
XDbpnhIGVeSYJs6LuWkl1003SbMBDaUea92hT+vG8o1qmu+MkYcGNDaIBQFsI7RKVRb5lkTXJqM8
NboWOrKs72mVT8waS5NHA31ms+z6KWy+VRYlEm6syQcaFlfX0Jl1vLIojHqo1Zmc+92isb1ciyE5
pXoWIqgYVqX1+eT9U0/BJOahlvqy9K1OHFCKbIMORn5tmbSwfLAjkeoqa2tdycp8JpXrQkTFSjKb
K4bZoF0QQvLismKwBgzGlSc4MzaUkQJBC9wwwg4TiNIxkTlWch0NVtIiqG2HMwy2BHBUsVi29Uhv
dG8dFqQSuO9ne2cQHIUcdg2jCeALywey5sp45v53SL1AhHkzpKIdAMMr5T2NzZlFal7wb6cioRJD
dNnulYYeE1lEncaz3FlM3vtYmbK9M5qVb04IBnaMSHmAakK53p3c6NRdDTeekMbSosRApre8SsMw
PuPkpweTphInqyJUhLinIa/yvR1P8amLBpqJjW7pX7RKhHoxdOZKLUus1WxGsKX6c02gJQ+uNL2p
NkpSz0LAAT1omBhM0DRNlQMuGUVBN1mM665VGFZ5NiJvdZc77DPQwGOBhetMDNLaSPUjl9HEiJM5
yhec273tty1gAXfOZPOdJhjGTCu+t6D2vLD0N7wa9GR4a51ytFhU8u7exrxWeI2q1ehwVmeSPQt3
/uITXNGcFytZaK46Qv0IcqdLWg9Vu3OvTJYxuwqymcFNhYrNg6C0Xjq1XvVuN0jNC+9w5Jek89o3
CSCEBpev2AgNIjTcx3NOShoDhOTLOumsNUtdolFnyGOA3alb3m1LTMoXtisi8VwW8wVAJp6aZ3qn
ekRcJs08VBxl1/jVFGGDdbp6WnwnDyvHH40i7XwbvkvkGl0t6E9tDBZnMjmXIAqN9Fp2ojaITFZ4
f5ybdg54Xjp01oMEhiA1RhaZEROu4etxqLx1hINEvGIzdJuIHdgXaFbff4ljqXsa47C6zksTROAM
2ui+U/AxwZ8wyeNpCPa7nNV8Kfk6GRCpYSB2teOkla5hRPJRsof+plAkkwjWtJNvoxjwN8T9qKLR
qDQZul29Y4lksjvd1Jmsya5iy619bra103sdxu86YHsGnccGXvXVWLGMoKfNgavwmUjoiNWK2K02
VcabEgqL5IFVkSLfEgROe25rbLMN3Tj2L9MQ0gTBOkc3kVaEok4QrMD6qKdVqcgS0pKxNrw1Spp5
J5sQl6YhKy/IB6LPNs81AbccEQKI0xGEUqhK/rJKLLbsrBaUGuiyYt+YclRnNS55h/5NJH9dJEuB
hLC0ETbJiPZo07f1bbehV1FWAeeg3M4MpN75ui9lQo6CeEbui7QLwP25DSTqQs7p/HhdQ3iAPKiQ
KNTMSnOsAcaSeT3OqAToirhdEnPN3jSWlNdiHEd9rynyIHn0dCd7J1l6yW1Caue3skgNcqnpRlk+
b7fm1Cvslg7tmtJ1asfYwF3OTpTGGIkYOyKuWcfjdR6hutS1vp+HJMf2wLimdeG79ADQBpnNcRob
zTFDqQx1ynSco9RiAN+t8swSFauN/T4m/SAHmlEaQExmVX6W8WoInAReUXoXPZQku4/I/mW7m6P+
DgvRge4JQEvGJqJRkwwokyxYGAgp26L7SliK8r0zGXkjCg8JB+AxjcjWq1M9RW0W9rprh8KYMFtj
A3OCYJp3eQRCt9O4dXj+0byotCKGARlhXQ5fLSw2kT9IMraJyoDRY6DaAh+ip+pDtUF85g3o029w
H/ysgH6sDfqjbACgeIMBVVB7zmz2fPAWBS0ImAQbFBYRIEJcP4BCJGdCD5BZctq9ukGH4AgCIKIh
BYxI3cBEg1ktXMwRXJGxkYsEw4itJjijraHxj7oK/z/4vZmF2pTa/1lrcv3elq/F1+Hto87kzx/7
q7ugOn/QVdAVB3UAbQZ6CH93FxTw9ELgYVvolf9sPPyldaaBoNCNEIN+nNgCwvy3zIR8b6QS2/BU
BlUM6vifdBc+jScZvcM8he+Fi5zjYJL92FtIdCVcAUdS9JpzdBkR9uwNUzGeSyAOWdQIU8PEFv9m
qP2p8fbnQR3FUDVd1RmMfhqVkU3SE+6Hh7gN1eyGMX6+WwkZ93+4GL/Xtvx1FIYfOP/4Zp9Z5xrb
QFnO+WqxPWG75i0LvXIljpKcyrL6zcH+zVdS0AMR1o4zUAbu/PE8GmYYWislsKssidDTFuG+Mo3i
N1PGT2oA8ZU+HEV0in6YarZVpSJd5Si8Y/lGU23fgj4krHfuw99Mz//dF4JhToVCr5hJ/adDDYMS
m21IpUqPy9hPti67zbBav/tCH7+RkB/R2NomtAzoTeWzKXiN2gXtsXJzHrxcRTv3uHePwVVwdIPg
FNzyx9Hd83fubreLXO/scPb9QDyc+90/HA7fJ/fm7jec7E+ylJ8/z6demy6PY4gW/sZ/8u+Dvbvz
doff3CmbWuRvNcnPh/ik4Mkq5mX0zG780+HkPgV+MLru0X3eB+6tG7gux/QPnu+fe/55cOO5u3P/
N59A/Xhtf/4En7Q3RUrzTU6Vm1Nw9XIM7gPOr/fqHc68u98cSdFonv4gnfnpUJvR4oc7FuIRdj2+
7IkrfM63E9dV/I+/Xr0Ep4N/dXKPp5dT8HK6alw/OJ1eXvhE7sX+6N4eb/fH/X6/2+8v3MvdwTvz
zg/cCc8XF97Bc90L17s88Kn9Ayfs4Hs3557ruYfd2Y13fu573C6/kS5AwPjwdXCmMCgAfo3NxMTD
jiTo4wO45g5Idx0nk9qYReSrsQUpjjYY/n66i49SIkCgMYx8KQCDPp56dQQV2jSiO9r1+fJoq0qG
5imDOQbMGsYozaRZwdCRqDBS8WiyX9yQpBBRUchSrzbzfl5pQvlJj+CfTGQ5LW7iWQdtikIXzKlu
myBPbUmuGj/fUKgy5lLmRRsidVCAIxLbDTl13SCq4HrhqUIWmHatyUQWWlmjK3snV7vHyaGjcaaq
I+0VUtHJuxsgtVYbtHXaAK60I3rk2jPp9DAyBOQVhD/A114m9FEWFFiNBl91IiMLOOy6gWJjc2Kt
1wz01UG3wWT7DSzL3inqXNMUwFkBp27pMgkQLc1UqsxE8GlJSLRCkGswFcSgT2V/aIbgbKE+g7ZV
BeWWlPDmuWppc/iEi4BDCBOBxE3YKxJFHjv6acZDqooWY6O4/QbTRTIfx74mGLurPGAWZazIaLNk
eAs/aEPymnJRyHDb1iI7NbGOFhjRHalilgBL5GOlSG5byeZ3GorK9yJtDMUdmZw7J+YBNsDDQU0k
n2RC57LPFOjU+UayqDeqxZACuMg31oWOkfC1FACMDt7QsyWgGG1p2ItvtTRE/OZPboZAaCwbTUPf
yBrjRtlgKABxAxYcFo50Nprv5cbkSHtn4kWk6mWyqwW2o90IHv1G8ygF2CPdGB/xxvtgVBm/4HDO
yLyDj4cfPdOZU0UKpyXh/pV23cYP0QRKhHIfqgjaFAAjNoBIN2oEd0SrdceHNmH76F0wBTs5nqZD
gQP4i0O2buIXXC7k2JVNjykv2BqjDkgMEL8avJOiA3sULDZQjF3bJAlh5tzw7zpJQacijVSKYTiv
C6rrBqtSPvV9dujibH5GVkVMGJuv4gLR9QKCxWis7/oGZuFW6MtL3Ygc9Zh105B7oeC4UEg5b7lC
T5XhMNw3fBIwXzAbgX+ZNxQM+x3pYV6Y/OLiwtHRrrZ000R6SVAoBtuzzICuG9gSVZLrGL0wM/MU
La4pk2hcJSJtV+sWlWdRThlSS/A8TpoqtPJ5ES0wRUIVKsfC7MLAIaWTt9y2NmeLXk13gyzPHqjr
h/JGthNY9yZCmfjQ4oxsLwatN4pdKhWV7IfMZOKg7dG/uIhrHFislcWQeFWd+i4UBqpUTtQ3ZXNV
dcx974jLwmvVIjVAxb55sGQVO1a/ObMa9ENtkAjDFoN0vFuoR7LmAGhXfWmq0M4oihEHXTKdKC9a
rHM898IKVlLRgijZHGI61M6HforxjclGzih6EnayjtAQDUCBviSHZnOcEcHT0ujenGgTUOjVhTqU
k+gtvGo1VC58a7Oe9B5p8cLPNjeJ4+XC5pbRin3GAiq8b1DJiPiKlolgxM0fJ6Fj+uo0Na65Wm8J
BK7iJLwfKkrmrii4ErDjcduFSo3zrqNGj/1Iy3DkrZs7jycKH4EpTHuxsO+pwsgXSgtII11e5/ta
GP3mbkA2q4ROf8S/5CD0aJLo3hk1eEaV3Dy2m6xf2xT+ZjS+SpvsP6axfqdvZgDEGckbyfEMyElc
kx5k8DavmLCxEBhtpp7yTBgLMOZjMoCdjg7KMJPqwdpsCI2tA7LphDuhT9LhmSZsq9I/wr0Qt9p0
3xcDttd5xd0QW6V2Q3A2lgdaOuTWNsIJMY6DtHrTZpCYN7OEKXwTM7zWLohDMux3nACnxpNkY7MY
Gyd86DbzhZIy1CMJsLir6eNgi9yMGuZm2oDJOR3azcrBGstLKxn08DIRXo+VWRyzOeEAqbYQygkm
NWFrwiMiydA2gt6QcY7EQLvPcIRinh6Ft6QkcIBesEyziC6d2RxD4UOxyxJLCumJ2FPg7ROyGFG6
m5woKJ87tZZ0fOZ5fb4Ih0u3mV0qcyZbrqo7CD7GZojRN3NMZAufDPN60YgR9hliBLHSKClZksZm
sNE2sw0ZSoq+h8aHCafAJR77km1EVmBuPp3NsjPBsQgvGYWW5zVrpuwm2FJCXxWEDyKv9CeYT2A/
0hqCnmswT3udWkG3JrMh/tLJfDR4QIBD1o0hMgqciJSseYMXcQ4nf0zLgYVm8yyPm3/Z2bzM8uZr
RkTC89NsfucGeuIbCw8uaIyRy67YvNHy5pMOU0f6CrSVm0uea2aG0Yipml4k/urM5HaD4yF818vm
wZY3Pzb8V7zZYH2ZLstqGmYBuWTDrRQ7vKMnSSpiBM/ol/aKAoiJArIGDhZvLnAwEsIRngh3OK28
tPRXgA33CF96gMXCSi5trnJ+q/g+xcCpelYvVcMpdZL4qtUlMKmF0zIDK7d5WLTNxtZtTlaQm8A1
X4uIfn82UqFQLDNXs7YZ27LN27qCLs+hM9Suu40ICb1StukcUOz8Yt5mdsx8xrsFw10YqFWtPITc
SEowbbM+/I9OlTL9kwQk2G3VMnuztvngLEaFuLMgIIjx4YJe8IbkjBqVFsNFZ5szAizj/ZCt2nsN
QLtlZ8RI0paoT8kG0CShv2JoWXZ4TL3RSZhlhmKsWQNeovUohp1w8Mc1MFspPbM27HpflX0O7XOg
sVhgOnK8VGvQViGaAtlepgLfTggvWswyWdgpARsG8W5nVvtEhjXvzHWDwFsbEJ5IF+Ny2DDxayeQ
8ew+tGdIqM2lCY7/ahZcecLgxbWXVfs00lJ8J2d7uhddVJsUVgGmX7ISSH3EXX+R2i0qIsGwH+jH
Rj5sjepaNlvCvk1CUanXNvj9tIHwf13ifyxk2I5z1sg0UlTAebhY1E+lVNEMxGbG1hO5G+hGNTZD
s5n9LormY4n610EQKrPhp1o1ZVHi/FDCFMTvIQ3j7cMr0NlpjWacaQPJHB6MO17Wv/5GvytAPzcS
+q4lC5UCNPBvnr5eRe6Vu3u+9GT3d5WZI4q8X5Sh9qcCP2O3OiK+vjn3T77vn66ouk8U3lvN6waN
e0VZ+JXC26UmO4n/wi+kJg9uXf7Vkf8oSlVKVip299LlP/F3ol4+HveX/PVwR7nmn3k3J0ozSvpT
IApM3/cuvSA47viF/PPZmeeJMjc4UYZeBaJmi90DRSE/Q0kY+BR95/xCCryn05Wo8658fubXp/y3
NeqndhTRMoAOORMcku/Ip3P3J/+4nQqXr8Cn4v/eby6ABpLg1xdA3Nw/3FertUzLJK70E6fzdHfw
xEngb/wr3zs/Hk/UtS/Uxkf+9OkSHPe7XePyt8GBU3ryD8GLG/hPwT4IXvzj1RWXg7bJ1W3kul9o
ogScRa7T7oya+8n9P+ydx3LcWrqlX6Wj51Bgw2PQgwuTyEySSe80QVAkBe89nqvfoF+sP2TpVEs6
t+rEmd7bFRVVkkgm08Dsvf61vnXnHp3z0XQIDteHu89D5HzebQ/67eH6a+I8rM63yDlwuB3u7q7v
+OvnJ2LMzmGffbpHF+D/b/f3/v3+Ox/sfn/vPNwdDrPjRE7Axvz58nR6Ph33/uPhuP+4v3X9wL11
vSvX9+895+1y+wQ5zu7ZkDv+8XiJznDc83Z7SBtnrYNX/h3N48pjA7/fu7y8A0fMhbv3TxwJ5298
uuefNwng3ru4fXnxvHv34y+Og1+hD3/WKn7b3EO3peVu+0BQKV54IzgQ3EuXA9XdX/BcXfevxCb9
Vznhz7/x90tLb5Ea337j9YHD3/2+PyQOH+h2oHPGXfMiOa/4K6cL/+Mc+eS3v3rXuwfv4XB35b1U
fOiB83LxbTt/eMLXgRM83IybiMRpesdB4977nGV+7fint9Q5cpwdPU9xvFvElq+28+iftvPac/ae
j9rkHLerwV+cYee0xb+71vymqoWib9KV13nlfX04bKf+/b//6DR5O1n+3W/47U6AtAj9h99wwYFz
zQVnk5outveOV7ldgDi0OJA4vjhzONAueKs4vLls8VfeD76255i88vwjf+S7dwfe/j1fRaLiz5wJ
LueUhyTIQ/Lw27fsKn7+8MCHx8WCc+98Qdx+42HnfuVbeAqOy6ewfTt/8Z3tdNrze/leHvEmuObh
OQV4KE7lw8HfrrZXVy8ektjhweGN4mfQu7YjkCsnT46f5/G2B3Mv+QOXiCueEaciwimf65N/3L7V
Px74/E/nqxaveh9UvHg+Wmfn7zmet+v8dg3nuQX85J37xqNy0rnH03Zqb28Tb9T20xwYBVccPi6X
fz5/ZH9rivRfnpVjYjD+6Uj23vq3H9bV01vx+b/+55ZWDtq3ksTyR/U/TlXbf/5sVIWVuf38H4BE
9QvjoC2AiAL5jzrjP4yqYHN0Cy6hvUmSqJbbquEPbA4/pVPVxxCJaKrMnoZH/MOpanwBbmNgltmC
S7YJxvHvzJJ+vaEZGqFpRlkWm3+beS2z019vaG1SdkR1jK8DYlldSbdGsofgv6uIxxDVc1psHk4z
pn+xYvr1Gvrjt25Gbry2+HH138RsadBRhWbj6zwc7di6LEZfqUI3x7+1ri8/fTj/yUSJxd4vlxnW
guxBDUTQTfvlXdN+u5Apo4xpiAIIB9r+IrnNGW5iluwb/XFjntBQrgeyUIrGpwSuN93uDEiJz7AU
ghixfW23G0TF2HgqfaZIj9MZsrKegSvpxl4B2AqGRTojWUxKVCa3m/sMG9wZ2zK36EIQ2jeci7mo
ee9j3FSwkWzEFxI9FGlmGwcGKN6g4keBDlPhnxsO1saMUStFicFBbCgZADDV9+oMmJnadrKe5rjZ
psmEMGT4awlq1BlNU54xNeFGrNEqGXiNfQbZ6GeojXYG3Ixn2E1hrSU99dQMSF678XDYIoDGEY0u
+yBWC8/SCsvwpFwuTpKyAXUUa8TGYmcR5hp0XfhGbSGW2tck4iROHTVNdEE0DbVJVpnRu4OkLfpx
ylSdxNhs4kDpLGxENi6sU6IzeoMCo55kaDHOikp0B/H5paN0sHHMLm1zt9BLtSMMkxWEmiXJgLTW
ZhCHu7YN4aqHPcqXNHUqwPiZPLIjIbnPvhBh1ML7XZZlV8tz2wVCA2oDxmSEHVMJMfR3q1VIgTxK
lXStxbn5MSf0HWwGjX7YDSXA012bWnl0gYI4hQe1MSsaXFareqkGK6VIw0C2gn1RG74ykMHg4y/s
ym/HkhBFZxXjlW1DfvLA+NqHvtYTqiLoJpt2itqW2XWPd4Tgrg6Gwu0YPg4bfyXFGgPBvwoKZa0b
D09jmR4lGqkjokXoaw3+rjgpbwHk48sVYozfJ9DMIUq5XLMtlg3AMvEGsURksLN91Q5bsGbDXDaj
xiMqiZGVLvSX4g0bBpbzuU/NU4XI+VDm9WQHCdbRo11bK+85cjHlCBtgs1giWJuWspTGEbEYBqdZ
RwQfBzNUD1pjYSoBL9mhiGzwzrjSsk11B+kJ+Qa6J+8apM9oUaTL3lCk1Bs1gjFBH629BCco7m4a
ASwUvA99GuBCVizeG050VJf+bmvbeqrmJX639WK47M9QGokDDaYNyZrKjTZuzaAPhJMUg0kMBP4N
byPOqJvljL0pAa7w7WccjlhWINDpGZNj972iB3OHD9QRXTvdrn3W3+VnvA6AJlBUypw9NaMeA7eC
w2NSNtCDwZ7m9/HM6akL5SbPTGLKNdVrCrTsDepjUtkNjXVj/TBliLfnMsI0is44oDYGfO1HbTvT
3xebmnoo7AKeNToW+oCJbvVSbXyhIc3Sfrdu1KEmAamK7D0AIwrVDUykGEP/ObTdeLNi71R2vTTY
n3S3IcQiW2T3+sqIwRmpvXwEHAb6aKpk6XVOi6zeqfk4GDho7LjHn7lBk/I87h6TM0qpOmOV5pzz
1VUxtJl+dUYv4dRevmOtDF/WPumv9DOkCVhptFncYTcB7pyey43ntJ7RTtEcgnlqSEuBfCJLo3ry
UIg46DcqFMMv0t3dxopqQq0oPOKBNX0qZ5xUdUZLkRHFfRpLWGYu5jN+KtlIVP9/QdP+Bnoms62z
tPjXlpj7z5a2pl8WMT9+5o9FjPFlgzGj3FB0cHaA/NMPs5UgaJvnBRwEeJXN2PLPRYz9BZ2V5Q3r
GO743OfZm/2xiBHiC5YbAjKQ/zZEg/y34jashn7aSPDEVJ6WJgQJHh5LU35bxMCet61mHrljgOJ0
7DZ7lTPx+tN78p+sI/7qd/xmFtFIFqe6MZB5BWXKpayLfVvgkfv3v+UMqvnTazEoj+BlAEXR9N8k
HgP6vLkuaLDwoktaZs+Ns5FRSh/lVkM7tCjBTlJE7Su3e2NwOnnq2iCfyTJ4IoICQr1WMUj7fiwY
6dKhFUvHzhjWF8VqaczS2zz7jhFbLHeA7LBcz6Ae7ugtUS0QSU1ulq/ptFrRIYK8t0Kxa6rmkm6m
onBLW18mJgWQEEQgQXOiJ9JqZIa8G4nePEPp0zOgHr8OsPqJtic6/M4Qe9DGAO3DM9xe6Cag+/YM
vRdnAL5xhuFrZzB+KVbtvU4IGzrDGZ2fkEh9CIlcM47GlAo++wzaH3nvQrz48PflM4pfxm/stxuf
Pz2j+tFwsQIX5obwXzaaPwg18FLLGfJvnYH/5BCA/9vnIgDYwRttlCQzwZFzWYB9Lg4Yk3R6qc51
As3WLCCDOD4o+txTm7P1yFbFYDTudK6XTVurOECJ7mU6eTr1SRBGGOFlb7W09BpQUbuQl34zOsMH
WLQ8Mxahxra2E6bjc/UmtoJbAacxIswgz/ddtzXgptnWhtuem3GtBZyBD5yTxtxi5Gxwuq1IV8f4
lbvTWOWP2tJP5HCxewdkuOjfTbcqXuZz0XSpWl2hu1Rn0dY7yRT3gsOmwzcmxvPUn5t9xdLS8mtt
hb9zXyYZpkpqgKlhCJ/ofE2Fpy6pMhH11qvLMUIoz84VwmofSs81dTgcr/NWMhxrsv2uktoumeP1
FICUWyOxNq1U09LeR1FxpG+lxc25wFg9lxl3kEHuOyjKb9GwlR0LpqWAgIdR+87AgtQ7kj9FBOq5
JhkFJsLyGXXSTnQDdty+L/r4UmcAS+5qa1kWeMhvp3P38igS47ScG5kleWtnDputqXnkFpnilpCG
d8qj4+Qfe5y/tVn+72C55PL70zXuT9vl/3hvf7m1nL/9x43FML4w+CBuSSZYU2CYcFH9EeM01S/s
fmVOYram2By3ZoE/dsfmF4HFEvsjXrdtW6ciHP10YxEam2L+ccN6bJzavwH0wtT5660FVoXCRJHy
AJ4gO0nrN40qmk0yzBPFWF06NvmbvIgceH1T6uQ4VRZtmT6wG8qos6GuTKvdME2SKxunA+F8m/In
O2teQtrwruuV9VhdqNK9Zm9ZsiqfgFXaUcqyFPOK7K7ZNO+iOg/3TVuPjJql/la3Z8PHp5FpgTBH
EkLjoYt7ekgqSWqegfHUL3ZlRqWXq3StuSJnj2TmWv5hLVRGzVhgTv0kRS1jfREfzabPApKo4U1O
NiJlqNwZVxrdz8RFZNPEDU0XAayhbJdzC3BhVqXwIoclqPuVnMJiFMdKG8b+Us5G5ZINSHtLAWvs
lnlKdg0Z5Ls+lmMCKD60r9NMzwK828RqlEbJL9OFMW0OU/Cgi+mRyJLcOZpahM9KTTdQOxjR0UxN
+7KM2gf8z4kvj416zKrMEVrR76V1TW7WecmONfO2uybLb6K4y/xabaNTPcKE1JKxe97O7P3Mbvuw
SJUaOTPDrSeiCiGeWOIankngJOgJlTwwf+P+QTfcE5Pe2lunbQsLS39PnpRdViVFJBOZrW1xDi41
+gynhNkq5idp7hVwhvFyVRvl6ptWlbrgRtfDUEa2T6tpemhicTcu+VFPy+feBvOgpqD0ByQIcwpd
JaPiQZS9oHLJ6L2EDC1LZJEGSyKHbhLlFVuFuZ53fJQ0q8pqfoz6Mr5YC7lxybnQ5459fKc0q+xp
mdHg8zC6Xd9LradbIOEMKvPc1qyUQ5wl5bfVUgaf4bQObD5m52YscwnDZlaRJxo1vC5r7U6UiepY
XLln7hBt1JFdiurmbmnlaAepe76T1tDcT2ZPpnjm9WbAi09mYo3+wOKMrvmhupMGModZJ6Kdasej
X/R1sU9pvHEaa6yIs6wTKZFZn6ydYulknWlaMiATxDkOLUktsuUYDhhqvhZ6b3eATbDyJ/op6hQQ
eg68Xb3YFxSAA2LQKNNQtV3WRFy4nRSsxyh52trElbiqhSRRhDcrJTVw7G/gn0/93ZKMy5pcGHjs
MnGTGkl5mKjRwfWTkchum4ri2WX8tDqbByJJS/ddl1xEMCQ/jHhtHkOqiD2ZWvtDay/JCw4nKCqT
Lts3o84gvmt5s2I4MmQ/yG36QN2qu7xL692sZQDdhiVU96KdjMshzykEVUUjva5Ejy8iJocQK1Xw
bkRsTrIustc8NO2gDMP6W6nUdtDWoXmFxWCVXUi1WRBXany3zkyvHb3OuG81TRc9jJNWXBhrawOx
jZlKT9O2ILaIlCouv73yM22gX7wO43ssi82+M1qbl1+vO5YkwgMLVEoes+LSX1NNP6bjYuwVKexv
gGerWyDmQbXa5lKJ6xz+T0wHD9mRoXnV5Twj2id61iz0LsxWr3zoZrI8LVluCTD5XXMJ6+l2LdUY
ewMnDIs95Z4lIrVd3WpemoNc+UmSsoVUB/XZrNZSJ8hTqPtJKfXpKOZtTZKpW2ExjQra95j97kPL
ouV6IkGpugT8kudZkrqbeLIHJJpemPeylsQee34iGBLJy6cyphKjxWnksQ4oAiWdU48cFZkNcPh2
gH5GNnOFpeUg1o545JTUkHz2zN2J+VLMFTMn/NoXeDHWikJTFBOKTnCEJS50oTjzQvjj1ygeSuVp
jb24CXsfWHgmBNyIIscj66nZQIJM5H28kaW7Mjf4e9prDwrQm7eCHBkCjq720G0X/T6FxLwXqyzf
2DDN79fYVo8kzTScKLa4LcBoXc1drrgiXszVmTtwtFi36DWTeToYy+rxZhl0xcdyk11lopMIdSp6
EySzZJ4mVV92mjqPB65F8By7YRl2JmHo21k0YIOtWb9ggR++V43RBvNiyw1V7b3hlDEWMAAgXa0e
5LEePA2RhMZFFQOUYn6Tjd4KsPDPRL5IFvMtYzJ4A7dKTyLoiDyDG4dYYb0neDh5dEr178Y0RJeC
u6UzN6p1KsMynTD12PKJXnj45rk+3Zpshnq6M8PN8gQpvQrJGmrR5gK0RYdQKRMdapNkOPRKJt30
gmQ5JegqUSBbrugCjZfXUG6Lq0blLg3CKLKuslIvr/qlnHY9rOPUtdE5Zxoa+/5xzFcynLqlWYeJ
/NFzOHB31HsIjWwQTD3Ar5HcLWsl39C1UwfY7jPfkoyWJkmsTHKdk73GTQN+uUw7dFUjXc13JClh
HFqqP99iE6cdCoh8mgyTdxU7pkzsz5ZLr5c67W2o1CEo8rT2AOBEJ+g40pVOUwmcLwjoXgOH8wMz
7/ykcVIHccxNDcyhGb5OwHiDolivhtoo9jNV2+ok3CJsEFmVoiuoLNKOjaxc2+T4vHqaX9kTdcdM
aOoTwhOrc9Dp4lnI8Mon7sIvm/HoW4lx2V+JWj9y1WtOGaWqh5rqvxulwZwXx0vtCrN4FEZ6atjD
4AS09Ytal7Mr+lP7XZfgpC2l+wRIvtdvDTS7PC6PVL+wlzbE1bBgt56Vod+RmqU4cIsxeKkRdhcy
SmYQ4a8NTL3MvSKb5SuC+tTbNUVF25JlHDiHcfyqCpR1uTXoZceFnNG58wxmTrgt8SufttzlEsm4
Oo4ySBdV9CGKn5TuE+rXd6GQ9Xvq7G2f25TtLoa63lA6tFzXqQ1ye6rrkz1O5b1I1zLQ7RwhOYvT
XVGKxaPCNtsNaWgcoVmP15gLk5NujQ6wuWHHedYCSaAGPBXqQ6IKen1tf7Ey3Ekl6ep+y4/FfpKt
ZL8ab5ys/SaVxjLMq/ZrrX6CgDeu4VTaMJGUch6cCYktWInqkQIs1PBWyFn03JVysJhL50Ge+Bws
XXnFAzadQmNmuSPWMcbwi2gpT9KlRg+7uCo48GYAcBtVqcg/bbOxP7fiAVdoPRV5pUy+1Yxa+dTb
FXCoTNFjwtD9pVJ3nJfkRh/yrta8yQI1Rf1ubGAaDcP4bRzr9VDoWPdQZrezfqkLR4TyMx7R0CMk
j+eNFD/t9umAf3OOaYTK8QnXqxC+ks3SN3lrMsIR1Phhl0++AOC54xJACrKblZvITHYVNiwnRMWk
/3vJXjq56H0pgn9da2FyZIE6fZ0Gedy11aC4uBSRWZOh/Ohpfdgn9Iicymg0cPMu9DJlheFvcwMv
LvXBk5alZhmXdPZVm63RrpeL6taSLVavNLUHeWgnR40s8J7id/sOJv8SkG/XDsa8FTRog5cQxjoa
LcVFkDgMb1YHIzAWVTrKGv3E5ZDjNU+1ySM5oHgJKA1KxSBGNXgnL5pKvOA5fsjN6FnCHOhBHmCd
WWeKq4TShbp5yISx3IYqWfqGq4ozt4Rlw7hdvUZCyumaKHLsPo2Bq5eSjxIABpJQ9TqVoZeD8Ybg
RePTlMJGyJPxU1Vb+NcNCnqiTVcSIdQaeBpEAmtyWVNFXAy7a01lfUaDMqLRapw4V05QEA5qgnvX
iqkr7vW1dHqaz+CQJN9Se+CSPHXKjoHIiWtgQ8i3ll/7rPisMd8ZtX29iAZ2REThmCioYUsrc/Zq
GbNvCJaGf6OuhxDsCr7kGEYLe5W0Gl5l+iY/YdPM4LU6Sew7STPcPAcXbKZy6tsMrHZFq33FUF1d
dHlU7FSpNHeq2VhB2qf5XRnR87h0cgsxr38gyZmc1GJudk2lBaaE7AXrZuBrE3MYzbwEi6NjzxYv
ikpUH6g0MVOpfFzb8dC2HPKpoXjUf8IMoIbBa/qGiuQw2cOMyrCr2zllV7xvQgkv+ly37vJ6jnYN
8BpfktL2MGNFPy59bB9Qjzj4uasEvaoQxgBUd1xBrO3Svhz9qZwrd+wlweHe0UJqZv29Afr/gGGf
Buh0CuoW9SKLhxurMJ8whVFMPawZraghE7bci8R3OsJqfg4RJx8fhjVAFRJeHeXjRW2m1EuoUuHU
xk3a1aOvre28j2ja6YfkYGiX+F1pgTKsaScX36kSd+ThlK1zc+SuO+7Lds7vEUTjw8bXPEz2GtEA
O4uO2zwLOxfakXI4qwZ/S075r+492CBXaNf/Wqr/j+Kt/rWR8ceP/BBUNPuLhVYimKgTOgB8jHr8
Q1DRIaSbBuheiopleZNN/imoaF9QWTahhdJiPJPsvn7SUyg55iubSYFQj8J//o6esqklPzl+eGIM
AxB0oOgwL0BP4es/2edUurFShfig00dDPwVxamuZU/LUKh/cKfsVpdzuq9iq2eQCuVLGf4hy/xLF
LXgpvz0DCGBYMugXJfMlfnef1pIZDhkXLUcn2KA569hM4X7JWumrahXhSwwxg4uoVogX8JpJGqhS
x6YOc3pCpEadQnqTFV0OWlTt8pBy14cOwcrr20+f6l8OGxiy8HHg7thsGawymZT8+j7JSQkjkpoU
2hbk8q5H73poEiMN/v1vAU3/y7sB9t7g0W1bB6Omg6reJjQ/fx5RElEUHClsrztyo44pOuBFVWca
7+xLGLErM9EALRQk3EA+1UhX03zdkx57sKwua1y4jiEdLA27IX8r6GvoheUidV1ni40FIpNHGn5m
mPmX9JtM4iYktaxdcYOZlXutEsvigwdbbIdvT4dDJCp19WVCxs3RSEd5fUIpXpWdICb/DDYeWNgS
ZURVtCyGvcCmu0JH3kBq0yrjTKjkujVukeJZx8GHaMqL2e4lVgOssRA8OszyOwtxytjJc5bbXqar
dYuap+T4gtWSr1ZGV0zXYMqQv4wozbMbugN55M4qTSim/TrLce2IXBTdsbNiuqTKMp9NnCtr1rvM
WsK9oY228hx3WtMfSgV2i2fQsZHs14ph6ks9SKySooxJNzVVGpCjpMMJ7xDXYwtS59TGBxIZNQAl
21rn0GmDZDFd6LMrDljac6zaglfeTiaoGTrnqdlkqaBsgkQN4BzPAoBOU01qKLbMSmBVWOmLvRZx
D6bAhj2agPlUriK9GjO/64pVQSji7t7EkfQMh04pXPZaPT3Ta2RZfrYArfS1tEcgoY2SgfXc2vJI
NGwU3U5pJ7l9KpkmAYKYUgX3TgaVE/0vleunyDDl/sRte6PbQuJ5MPo21/y0SCR7b66jbCAHrpZ+
mELuHA5CRb18LdayLx44+uvJKy3LeoTmpFSHLqSS0zWzUh22RUrzofdqfSwywU6cQcDcBpY1oktA
j7Gbq4S9JeiVMB5gQ1Qz+wy5pCvFYZujJTdUDRitg3kDjJrCbRPgnLmhTCrBaN9Jx3bSOXpS9YHB
px77dFyx+cUzpGG2idAin8JJKj6isk4tEDn5mLna2GmPRtItoauGG5xloJ1KuRR0ZsE9HlbrLhRV
/JICL3iXi0ZmFRDXTPiMcpr3srrG0mkCcjbA2IibF8Y/4wR4aMxeu6Js7vKlSj+MRO+LfV3N6m09
TcYtyaUIcIY1tq+RJdoZwlJnHOXINud7VSgwQ0Ash2xN7cyWA27mFeYmM4RnqlZkNPZrR+u4EzIQ
eqqE2X5HHZNY3pC080JSR/SA0ccHvtjSwJQwh6qSHTXREvzgjCUQBhtCsCKCBtyl3JCculcazcfH
Me3TlFEMkUCR7UDICW2nMTEL+j4qkL+XrJbdel6mxJNZR6+scNDfWkVThmDi1bxSIDPnbhMutFbq
2cgHSMaFhfkoAf2kxQpay6FL6N11NNDwud/VoR3R6zpPIzqq1M3HSB6IIaVpae6zoiXpNxWTJWDs
6XbIUIhf5Q5UYZJSAX+qua2oDMlTZ4VDEGNLfDf3q/LcqRUSqbLY3aOG9+ZRx82A7mTZNC31lLGu
SUvaw1Z79dGs9Bewi8m3TG6j5yrJjRIjlr5UXgSOhR1S1LGZRnQ3pr1Zz8lp6OPU9OQ1XqeABb1g
Wof8r3GSN/Cc2l4foh34ef1bUqzwI4t0SB9EqJpSkPfrKDnAelfFp1Uy150u0mG49HkXRbtsEBX0
wmiJhQ8xwXwiGGtPgZkU7QW+jY4msYlKNEwdyGrAW+t4cvUlqd7btOs/mLnhEpPiOTtuouA3aVyT
V2sDEwazOtrv7IGn98TIb0P62DqnG3VKf8K8UC5bWyoYYZjDzWLXzXMly98UhFnNtbnlvCr5ew3y
6o6paPwOsMo8TFIVI5n06p2NSeUD8qw6Oc28mIlTypX0pCx5+5qNLJFdFT9VyREQNa8ThqgLO1pJ
mymUi36FvojIBDSqJ9A3KN23colzokwwtN7iors05nLKdlFriPssbeJvvd1uImKaPCaaCVLTSgaI
MtaqVC91okQVkImoOfWcnAoFFmoOPcyoegM2jTVO+8nS4gX/35B9GqlSwPHNTI5eMwtbNi8URRde
HduTyQUoIo2ZJFXjlKC1ACgmanmf0fHV7NqwqV6iUjFqLycm+VSOq04UEHg//jq7Y/HMK9WuJ1ut
P0hyUsM0I21+YG2IYteoMxorxByjOuZWp+dklOzluopHwD1lTp3psZCEdTczpbUPgzTb1xlpSJp9
zZrouznyUbMJoiaXebSet5QvT+kbPoLIoO1p5KRmyBqrbh0pQIamzBqI/q5x+zkUG/BdB/v40tOr
KjuZ1KSnMk3Sm0Gm1tiPJNHbfmSv47NhJdsl1BqsGjyQCuymSOPoNkTzKlzbrEfhLaOswFsyc3By
Vm+yFKzyOb1d1BV1YcEt+8pBlVf/sFX8rc3Df4dZ7IY6YCj60zLwT/PYu6r8+D//u0zefjYt//Pn
fuwjdPuLyaISY7BCgIo/4ob5sY9gZotbB7TuH14gvvT/BrPMabkKghf50dD000ZC/cLXMPty2nOG
Mcj4OxsJQZD097Urq1bwIyxhFf6r/l7SYfVjW66qknl9M33ktVUd1qhv/SlR8SWM5iwgZtE9tzfW
+kLLFdUvRsEcT8duWQpbvGZ6MV5issX4mpszhb9aPB6iMtaPlHfkgTk3H4Dzhs10erDzuQgyzrcc
KsIFN+8iWMLhTV/B73CD7M2nuoP+VIw3htEdqiINbAl8H/jGZlr8bp5o2LOf5VWYDjT9525JL/U6
fp/N/WBJfryqN1pV74dev1XzwW9jy+WegDJ2EpPykliJr0NKbzLryMzovV+QR8Lhig42Ip0LePXu
RpnnkCp4tvUuLF9n1VaU+fQIadRrtW8Qs4IUFp9eYkos48np6y5Az/R7sbpJGh4Shcgf63r7TYXJ
wMhTkh0zDoOheVei9SntWtND+HphgiAOTb8+s97Od0nbMBseg7HiZjdGo4e63B5MUOTByIZA7szL
OW6PFGzeI+3fFIkBxS9X7k3aMRzDXKDMpa6KCGZEPIXpKoNQaDA5pE5c14YdDLFDqxSMD2qvNh6X
AgYaczzp0mZy1WhV0A97aONuSR+7Ooavim24kMo8ox5jQITjYzHRTZyGLcYoFWiAiChHXdbxVmoO
+XSinjyBDNfgGhvs6FCWHALZE/Vhr2Vi4FxcxS1L6/krAEKs8cMCVFa/xEWyOsCfUyB1MTfESX+L
FYZCTaS/CdlYvFmfqdFAAA4aIArYUvTZY6EyUU7elHdLldwZ0U43Dmk5bczE6hhh1yqcuDDay1ot
JqRFVWWzFyo3Sjsvz1GnLnubeCezpmVnG9G8y6m5dRkFCYfDMnytRXgRGrl2GA01udBZitby9KI2
1nRqtS45sE3JjnLZ0wmRNw8w3xgC8N1TknSescoI2HPmx5J63erzvsXIqnfLpTLNrUNLKqpiFean
DHWKmUx6yBiy+1otvq59+b2WypK2CqLlLDgfsYWdqjBhA2m1o7lbpLV6sJTZDeX5aTJrBr6iK3YV
9d5uNhUHXArrTpFq7SpaANSjFZM3uuqtBMM4KINJb10xRQF3X9NtcrD726Cl1zwxWPtuYj8Ze6yB
JlTDrr8hQPpZTflzZcHvZMu0bIPw05Imbl3Pgcwe0FTfmc2RaQidRO6AO1Rd0OLrcIxJ2+O0u9cX
6w2vUntX9jRC9J/rNL62GJbJfCeHumsCXOsMuZjPuoOMne0N69aTnPTRx2pExinW2PhUUEuvIgz3
Ki+AEksatNNhX3CYVgAHJgfb2Af3YSdUOrzUL3Jd3M82bwwbyEGJ8ZOFz/yAs6QmouTa9I4wsexB
oGvdtGXezQHAuPnBHOcc613qrPU+rO0rA3oph8fgtnXpK+NhtVlNcrg4pW6wTtBwAGT3jE0yhvpg
qVv7hbGKzPOQ9dtGtpgpVEriUjRVs6WEimEP5tUi0UibsuBx9bigJWBgaa8xVLorVuMrF1LXAEUZ
hl+zaNjFmUE/gziE4XtPcxOzYFrJRArSk1bxvt5pKKBrB2+xWY+1KfZqwcotkTOv7CN2f9dieknb
HRgUsZPz+rJLOaKa1P4AY+CF0zHMp8s+GWUXrLYTMz2X9W9U1Z+AIAZDmwcJ1aUFcy/mCjspZiPR
yMdONIFdUSqqrH4SXeej5sHGvU3IorhZNR1lilqLQVnvoYVclfMbTcKXxTKehF29zLlyGxfr0UwS
XD/ZRTnRzBKmGPQTmq8cU09AHSZ38CU3f7PU7QsjYUGvUmwcT/mOuQIGeKz2pYBqajbXVl3eF6l9
xJvmbSYMRHD05eam6srIVfFmZLm5xwfBxnIx3HFJPxMMhD2TwgOi3KMSWfckMdzMNuorG3SLWyp0
8kTU+6D4QmY0aRpxCnNK97GZ3/aFcdMWctB0/WOUZOm1mmuXyVAwrni21tAVUvcWzVPQ6OtpWJWH
qBJHIh8Sc+/5wZS4lhljdycDRXRsMX4bOvxJkf197sKLIltPuZbe6SHApHApS8/uTRGk0lFszyCX
MoqQ4KTErRKkuZoyTEw+5T4+TUKPWIhicprJfBuxgWsV3Z0kgyfK+mHUJyYUBVHtIKzHCz1SOeDG
b+vS9FfjUNzEFd5WkxNip5TaM7bEPVSHR0uIymdECxJePkYiu9X7JFCH54SrqDsAtzyo7f9l78x2
3FbWJf1EXEgyOd6KmlUq1VyuuiFqMud5yCSfvj/ZfXof7AYOsG8bfefl5ZJliUxm/hHxRXc3z+Oh
U9kmgsg46Z9AQaAofYaLaXYzlD5rAHRKkJXHJpmObsLdCMnxRNXWBd8n6kuSATVSkl4iIAh+cj/2
MxOxpbnq+z9VvxwCp3XOldE4e3N2nhK432PuXODWXWU3PAZuTaJHqGPqGcchCKIQ1EDYWM2JXp0X
Juhbc/YOtVtsWkBtdDoT6vD2c2AHGz+a+lPCqGpjcMC98SFJbdzB/iWjxrn3uwH0fdCGNq0c2bBs
y1hvCuApUZc8ZItqb60Z4Hds0QyG/1II/WnF/ctURXdzlL/nXM1y+gmCNBRsmNbxOJ8BL8COTZtb
oWLgGllUc+AGNzx7trnnH1aCegoYg6bJT2+pt8JbultCU95Oqv7o27icoK8f4qIIXkbG/xBZsYzY
6darm+xcWoYXTrWmRxnQbrFRAxXtAbZXtqF43ayzmzhbNcD5t8ZM7uyq9U5mEh+amiNC14yvbWCa
XDFXAmhSesFDVkdnnAbOtm34EHXu+1sud7GZPB4htf3F3bIQWypu6RhCstbuAR/LaQQqs2Zy3h+Y
5gavRAo+es6BlTKaMDfAuhfysRzzs3CD+kPmkX92jKQKsT9zDBbrTkia6SBBsxTEWxeu1SqR47X+
2y9vlOcboVebv8fYXpeFqDZ+1yHjzfJkLPkj5emcvSN9saoW7AseCI0NbzX44JmaEOa+NT6Bfz93
GG66itbqabwVQ5ydpsyXIcS/4AZOh898tKB63DQgCsKH9MJuNnGG6OfYm6MLGOKP1BgBj5lwSIQz
QO+Kk+zEwM9nxC4lxPdIcsHwP8CZkczJ2+tLdv6udubqWDMppgxNI9PG/ITIouvn0jcbCu/5FfMU
sNeGespH6ESim9Q2t3Ry3yNj3iCfd79s6sH//uHaH8GJcA4/gj32d34wBjd5Y16h9Vkj33I/r9iR
0L35pxshB+sl3XijQWqE9Lh2IZ9isRMxjdJ//lp/5D36CGw3eXb9ya4cDnMfSQTV7keB0M/pc+fV
VJHop5Y6DCx2ZuqdpzRtQ1aR+yAXFGeVx3ih0CD2mttxDvaDvuuiZZUDddos6LFrI5MneRX+tLLd
o6T4dw1Vm9UtbQJesLvrjPI58YIXQw0tl0pGyKwT3Y6SYxwcS/0urBpZWa+qeuA6nGMwjPWDaOUB
popYiy5VW98sRFiO3aPh5hffaI6BZ+0a+/qox5i/llA9miDbLnZHtZaz1UvMkztgHKiaB3g5E/YX
U52IOqQgS9p5z5iZqW9tPS62vC9kl208Qz9mAode0lz8Mr4v+vzGzWO9DsaKKkPdL+yCgmW9RNV1
JOmNe85s716kvTWWleBkUVVI1RwjQs+NfjDZBeGU6bNnBvPGicvxEa7HtAVrp3YlDoODwB1xjpai
fIxE/smVBArGY7KnVOqsR0Zf1+jTcK4tWpkaE2MkMLW9CJxtFeh23Yrouu7G7AwY8a4CkXG1gK/C
vJDurGuoLI7QTKt0PXm9t9GoqWsnxYKqmeoBpbIKzDlVmPnvXmZ/ZuQUQnKGZOvG+ttfkvK7iz2H
NGIf3VLsFdyDVl9u/XZUYRlEfBOO3OdJG4cM6pp1Us4hNyBuKieiWE/ZwW3hOJpdAwBzVkd1wfWJ
d7ZM0xC/p43bwyqDdV3G3g02hXPBjHifUpZ4Z06mtzUgmG3/3rLtXDzkJc8cWPTDQQ1+sYvrgd9D
aTjFohL7bhy5PWRzvd87rmVEdE3uLGDfXVCLHlsudoV+4d61Mzu6ED8FJOQv1x8v4K5dW5nO1jJb
xSbCMzazWw38W3vqioe6BAjzZ4UAbHe9X43+kC+Kv63HiwPJT/JmqM7a1HjZmPvSSfNk06rAcFvX
yasyNWuLkhYjQcVNvhjLvu/69jFXs/2MJIMbISdzevK0bT/j72uOuvL0vpoKwWfrNOEkeUXplO1x
qJPkQRWzXFOJBuLM86JgJdhqd6GtpuhiT0vyaveKG5osafLKddr9UqJkC/N3KcsVJCa7Z7WKczkC
LlvYiUiJse7PchV7I5/K37fIJKPZYB3vfuV1OhwyhoDf8RLznnDXMbrquNxEgWqB1CWBOvW1sJ9H
sEbNukxH/6OmuvBIta4N9It1llKsq2tGgSaT27+LYdPrT9V6MqzjoNjlVoKxw6/n5F4I3OAx1oMn
373+Cu92tPuzitodK5RfTLxerhr+/N+fEi0rbN3i1WK1zlp+7U3GKUaMOcbMn59yd+AnGlIs/HM5
SnVc8nw31WNVpjXb8Vq84RWqdwoHLDlP7D+bZKhKIFtTFgG/K/nzqi0lio+gemI1XdOq227hOQFJ
VjX7Hi3wxHMa6J89SvSL4GqQqOrAIDzYeJzpWbss6iPv3MTkYZyUibHRncYAkfE5naQKelDn4MrO
TQTB0EkHdCh43OhCOPf2jZ0kJtaitg5LPMXvSxuPx3mSxoYyjfEoFqk3mfQmTAlR7t3XtkF45ppS
/uU010IzxcmKSaSo1S8XO9OLl8Ci7+bUYF2v1fVQv3jeoZNGehkzUWOcb+Xw1kMBt8HID/oI1Hjx
uKWzak8Tjzc+BLRizrtSGcirgirlmD+2NgcqMDBQSvKUkPo+wVAFR2ydSUgryBsDjeUunSbMiz1n
gpCSSf3aLhOYsCzzHlRCM21IC2Cy6+osPkQxCYdVkAp5GkrTPzdl5gF4xLLsbPxriajn+xEmTK8x
9ujz2c0IL7Pne7KMQzXY8trC0Dm7chyLl2kOzBA31ng2+8Y/xkkc7VCrm2FtN9SSss8zONGb1+eP
yBFpitHZwzPXzyb5uM8li9l/U3ARUPuXUhs05GNAQd9EnyKVtmZ/NFWnLtz0+jEareZlErjdAU1p
xl8wtzAYZgQNrLFMwqarYQnOlXGEZlcjJrBjvF2cZTnWTJ6OqKT+HdfcfJ515K9MzvzUvcwlPtXI
ElW5znrB4CNNxctIdgwo8jiqY0VEAdd31kX3NtDiQzxNTK1qFtaVUxYTAu4ctN8uweGzN+X+1htl
07OTNrOzWeU016CpYhIUzDyyTY3z6pn/jL8Cv5C/kBY78sw0dnz7bo8/Fincf0UDdp+4PN0z0W7a
IMhy75rE8O5LJIOjEub8OPrBzIweq+tBqqR5jchCvRgIzN/X4SSzwZZgOkuImWBOg7gfOkuUfFYZ
KviKKqXWXttd0Tw1EhXmSLmTcR79tHRXqdn3n5Gu8pu5MNkYM1DYGGNff06Sb3JBIDsXf6zybby0
8nOyI04PrGahXDrrAM7W2y7aDbZ+79ZnfAnej3dVf+CkFfTHVnwHlZqYSI6Aa23hBw8RbX37XsfB
RdH2w5ppZ0cJhTakVjhaYZyzspXVlCVREeWJu9aNSyCVVdDtORqQ1FBucctYEAcvPyzT9MYp4o+J
17rh4nL3QR7RAZkOwc7L4LKultytbxahhzB2M0wTqWQjhMQTmr6ZnqApd9jzTOMuKjgRLYDKTr3J
FlyYg7o3LQvYrVD+oWxfHXxlv/jou7Dq6uJcuh6BkiU2cvyFi7EZ/cI7psyg9pRIfFoGe51moLxD
m1N5QDOa8FVp717Zqd2uSJsNax5izU2U4GjqVK02iYe7qnCqfuuUkX5copntaxHpk+v55XNPKmht
tmJ8UDAyVyN2UI6PM10idRAxIYgdcR8N/nRDaGQO4TJ8qqtpAIonYR8nYiMyLbK4TRObg0BvIeVH
UWfSSVLxZXUdsaKEBRRfAVOEwZojnlAWRNRcGfuCDuGNgJiwby3VXxyVorJ51fLddp21N4NYHR0k
2a3vjsYaD4FxTpGQfluxyhKqZXTNDdKo11YtXXgdSrtNllFocR16NnKOP1B2+Tg1a1YXieDiRJhm
VhGS6aGgZgPrbTrsWRAAB5fRKE/TEqTNznJZqk81p9P3ovcKzAKWl95hjy2b3dAbySfIyfRkW1kx
rqsEUZnNDAMeyj49rIZFMf0sw5JcHBl4VZhHWf7nSrT1kbVE7rXW9kNgUfEC1BdXiCebgOQ80QPD
F9m06gJd31R+6VMQMQT+IR9tOLZVUTkv/eDZPxwTrfQAN3fc4TivNxpa5RFEci3DIJtsve18pPHV
bDXiZwwSjsasznO9HVhtJZl9X7/TTpJ/1J6aWORKPqAO3rOBSdOYHs261ucJUuORMlvjeaqRFMh1
QGSkKoipUon6tc51Ft1OQ9Tegl6ON1Y3TTuRtxM+X1z+9JYHi7RDPEf6fU4m9RbXc/lIhw2jeu7D
xwDDLjhNjmgvCRIyhEAtnPXcFRMDN6pp2YFEXrItg3a8MazU32jazLpQFrwD5japvOuLcfDZcM71
e0QCi64i4cbnOI+z+9odgGZmpj9ypjeIZCl/8Z+mmSke6RsgADkNyqThmgsu52RftcVjXzjmqUrQ
H9NAUZ3l+LSqNrK1tg0pqZuIuh765wIdI6o7Q/ukmLet0y6Zeow5BJiS0cAvcwWB7rtCoLLm1I1c
tFT6PjPAA66MXMePdRLlT9E8TN+adRlfKw5f+lHnIE55eBhM35Ymr36xkPBGFp4mSKC0Jm7r2MEM
mZt1OVGtlutP4skFk7QR4qFeAnFwl+LI3dokGyOogzhMXEt363ZsxDcb8W5vkxDeNgXWjg3G6VSj
p+vhPu4jWBfKjKyXntXmDMvEWOtYJ0czaMQ+pfdTjI6LAbTR1S5xWnvLRWbSAQ+zgyFI3N1pUvQY
NIf4zuSklDIyqLAKN874mRaWc2DLLS2i3Qixa8NnVmODFtkyvu8+R2OIb5Ys8n+SOsmbcJ5758LA
hGfn1KXmLYffjrHm5FNUnY7kmEBJMiUO4T+nJ61olbaLudgInaxdJ2p4aDbBCZe9RRWQPVQPGLvb
YdvYAJFXXecg0GZqkye18VDbNGsJmKrhQk/eyYGhsVKlXFNN+8T6dT8YmLUNlxl66ixHNzfkes4o
gIAoEn+XffE8W/M6MXNxRmxo1zm47/Nod/JNIWaQZiBWOA4RcI7WeVB9cjCadkNDbHS81tcGPHgM
K7lfxIxxGRc6lAMyi+e4Ti4MQZj55CTxgK6XXX6I0py8jWu/JnW7WwRtRfizrhUv2yxQb6SlTsSx
KCvijiV4nPkh3fXX8RZafWMzsct6ch5wZDorX3a5I+h5r2pc190crbs4cLdXLPOtM9Qz7uKA1KI9
pK9Eu9t3s7GsrfKH/txTHkHxUYy5KZKdvV8MN4tD15zE78Cam1uuWlYpG4fYRMf0s0U723E0qgHM
SOKN952cqkefnqJNWwk09YXoVG0vT8tknjwUjRA5imOYKQTJPWWf8gnuBnFtzIaG3uV6hKPTLJnF
QTDLCQIt7Fsrj5K5EutY18FqTqRnMWnBKzQI4kaAnyfyQyqiKR3AzS7psBYZtTl+I//WzNLRSXSi
ul1tWz5KA52FHAflySsico4y7m9d6Ks0gfmT99hN7njKE29hp6m9L69Ipm3fWmao2XOGLqmpY9W3
xQ7WaroN7MX9NMwRxpFXF1RPWg4NVyI7donNPrsXAfvf3H2VdmJtAActh6JK3K09W6THy3Yo73sn
M2/txqC82GqaTakCfz/P7vBsRFpuR0P6X6Uuh3PZzsEFEELOSCZPnrBlVD9CS8agfa76c9GYYjPY
Kjs6fu3cKDMj/cVkT++KJJNvggzkZs4djs3z3HlhQqPeJkuQnLpM5G9UOBXbuIjiu8rQjAWvBShm
GuMQrFX0peVg3KGXyU2trOA+A/J9l6OPIpzIZl9EhgsE/zoWcYf8GKX2Ww1/akcbHy2mWiU/WQzw
drb8+YGuVi6kojEsbE2T/Gh9Pjktm+hQKxScUovuEY61seIm4A3VQ0dN3tyc/QZHYLJ4VBuxnt0Y
yZ8hlD3Oa3zC9jqKEP5qEcCwR3Tj3l+UhWhhzwuWoWyp11SkNWFWNQvQlaQyD4mYly0RtvzGI2fJ
gnIVAyJrWpONajbUwi1Y/gt2LJaNLMFsaw/J3zjRAJBsLLcSG3Iq6jQvsTogf/YQ79m9ltJe9gO1
ju/aQDTWSPgPCzQBGECz3rQi654IQbXb2o93HNGzU6IgPTE5lDvkm5FrF5sq+88Ji5Mx8onUa9+D
2EV02z2CiCjvDeZu2H609zx3C6RXOAHbqrDjG126FmpmkovtxJPwYJWaHMUQy/hVz5n/6BoGsrEz
pvW2xiB0iZskvc0Kat5XOHusQxWpuvv/tpRqnfbDvyNoTIbT/5MnBVv7Ulcf/X+3pPz9mf/yo7j/
0JokhOA5JTyAeP/ytQMK8GC+UH15tcI7f/7X//ajWP9YuGEsTpcCg4h0bfkvOwpGedMXNvg5ASjA
xGH9H2ACHOv/MlLjZcPG7MPEo4DKl//GmLNVGrQEzKkddsvpJRn73Fg23Ey29QZIifPMqMHGm2ud
dp2GEoCXFxbJaBgGE+MqV2qDEQEUVt8Zw5Z8GQXGeWcrohesc+mHib/gyHxokme2DhEdscXQNhc3
Ub15osOq1XcGG/34oDuT5obmOo/IC90YK9cWap1Nk/swXEcYtd1QF1n3/bAuOqXraDXSW+GFJh3A
yXvlC8N48K9zFTRbw9rENdnNbd5zR5zGYBbv8L5rXuQ6yDFMYvkxTenrPEfq/PYYzPDgMJb0KRVJ
xYmusdL0yclmYZLzHnHNVfgFLfvGsBlnTe5yPYhPOZSQHXEk/bT0QTWoVe5bzbwzmsG0sZkxf4Ng
0iWfuBuuIPQRW/XUYYbdGe51zldHHUJIFvEvhhl2HRXGi0xe5Z/5obyOEsFfRcEmqVpDHquR1XSN
qDLvJQBvhYRu2g6+kjyKMr4Kr8bVXT7ZiRqH8WGQQO96Ba3B7vWvCogFvtLBXujMpu+C8RYZJFPq
7C1tR1JvuWd9grO2fyZVuNRTDJzsEBOXIxftuO+cvsmu4xYzJIPa3MZthQloCYpLMpndjVVS76ng
NG0yuEDkhKHXpa5Mwjib/NdBZcQGxQwQxZz88bmsZd5CHqAiWbJ/3Mor85yh2biPJElSC0j4YwfN
nkyfzM/d1MT7BYT4dvEh+uF2wTqaNYx8PG/4zQgGzJnf87AaeNPbxBzq57zgCeN4enygGCc9df1k
vM097vWwAJpyvQSqiF4b2GaUvnh8HKsCNPVNG0cT4eCsQ1UJGvY/GoSDy3FhBAUE6YDe0gez9Kpv
o64U1X7++MinZr0aKaz8NQOY4aiIAj6kpuw/J9yub8qJfU5EY09Fpz+n3d5i0811YJtT2EQ9Limw
MNWv0WJw8qL9mADWvkCPLw99SbjqEw8JaVpQbFMlkM4tSRev64Z4M+3li+Nsky3f89ROol1R9mJP
W+UlIx7LNNeu9eJOhL9XdsVcAafz2CefjOf8DZsZkD92bJ6ihv7SgrPf79YcEsKBROm8mMl35mLu
6JeWPk1Vml8Bd/3I1VY4cnog0yiHG4ekLzYy7XvmQdd51J4Tw+6ifdDPo6YbMp/yHr5Garj33dBH
14eTReYYNiOAqLAjFZad6qyFQyWmserMVas6/dproz0CjgP21vaY8S+Bu0zOm0c5xByi5sbWjVO7
Uq/H3MDOu+p6ZfWHkcga9lyEew7FsxgslV512GttbO7KCzth5rKh8I18ot0inZyqeaPpl4FF4HdJ
deawO0CGHIF6hjqjD4RYsI+Tzfaa5MloDBKkVZoyQZksUfSPWYt7mCTrMravXlyaYov/k/dyDWKv
XWiS9ZZpAwd+Kq45NMZWUltYmAoutr4NglBTwFv3obkscKTiFH/1kE8zrEm/YiO9bhgdt3fW0GfU
otfkPsNKwSn8mOA3pdmVCZKoWxkgNZLrpOk9bMc4CuOOSUlvYhrJbLch5Fj3OKJu+rwhJGITwgeK
b7la3CnZIKjUgS43lKxocJSUXIR93Pc7QjGZfet4hFJQtvVwmynRc8PnvlMYsCeN2cmwwBrihvyj
R+omoSsTFXu1tDa71rxhuNkH4n0a3I8gbsfpYnWuwHuvsU2tlY/iV8XNQNOpUkKuFbZEuqEJQ+L3
H/2qu8kSClS6lSlblE3ca6rjNAa9aoVKZgYv8HYSVCyyrRmvQETkJk6metr35uTJl9q9TmxqJmlx
yMHLjW/gEE7uRvCVFEAPY/QHORmGfg/6pCU7bqJzpgX5W7opVJRNH/2oy2zbDcKv7mZSKNld7GBc
Qvvp5YVxbIVoDiCRWY7Jm2bhnuNpvnVJH70trK/xsS166b7GPqjKk8DmL/cEoOmMccs5+ZB1zply
5iiT3oiF3uiCwz9MtnLdc3ynzDzpDf/JDYB70eGTu4z4QzJkGaqGbbgeOERKbMajXTRS3XFqluMh
ibu6epAz6M5bNUeL9c6EKCF5maqUru18LKf5kKXl5FwsOnW4OicYpeWK/lw+R8L4K5u/72dWU/G2
TIXH7tj4wBWeX73q/d5LNFGavvLu3Ix981fuxWPymqBmDIcAUYWYTh/w1a8Yt6GQPjCMxsCokRpx
PaQo148GRJvkV0/uAVzmBMuB7G/vACpofZK/yA9LETOQ6oKvnANfBteSeh5StbDaArTwq4kjgO0F
SqKb8bJkgtHjOpXJ8lmSeAbTUAT1s3J4JJz7fJlRPsC/TerAANNq37RmzQEzUjdVcy9mPZ9p1+nf
CE2ghotkDLoftj2PfmK5LjVSXv3g0d6yIylyIh7yZNp+pw7jzGOu+3GmBO1pWvjWcR4UK3ZExHcj
E4NOyd3E9UiuV+TqmGXtJxwhYazdHKX20U1bjugMLcvU2tNX5M/PtUENOCiwUiJODXZnTuvWb2ZF
OADsy4YSlAGE6FBebYVIaTWIFZ5H3iOLeh/96nxNhYpgXOhtE5uTOhPlWhHzoUZMGMMmoD6ie8kG
q+Lx6y/O9WXdeDGhfgiozfiaApI4hKszr+83NUgIrojKFBmuEnyp5NO8MVO3eWRHUBau4attQ4XT
uKF02O92o5uNvyCoYJLHSV2at0BX5APhzTG7tZcR8dnbdsJqLk1lG+OXjIMcVkE/c/qjgKVPToXn
zvGp45BaPk4tTJ51BSKV47AdTd5LErPQ7pu5v7b4MJw+NVj94PnNg3A4rRX1Pl+Yeh48eyI5Lb1i
IPJA3Q0HH6ecu2mbwNdzobD6kA+guX5nmtOcbbXVq4J4+yTzyT5nraz2Dj3Tx4CoJewAUX2mgTPs
NPUqTHIRVabvdh5gzRqDcEcGp9Jkp1j5XBo1IRXC2EHZqt9kG9t6B83GqdJdPHXDtkpVsqqdqOr9
dcS21N01IHLnbWrI5TrQwiLhobswaeH03kYu6X80kigYscNiXLTJlxrtZnacTh+h7UzSWilItlxh
hprowg68pT/xuMWJmxOBBvKSIDWxqQsos754LqI5thwLxcMaxIbHH7xVfIjWEnXeW/GXTUTWHVCR
lTlGXv4tGPiPogr/z+ecpSP/x5DCU/31UQ2wx//7iVD+/an/ijo75AkCyxVsu93rr/51JHTEP1jS
SAVAkoT7zenwXxEF5x/TDewrcdS1rolXn4Pp/2HHyX+IP3PKFIKkdEAJ7X9yKMT6/m+YcxlwYPV5
GYdQdSBR2P4tXgvWyaMyMA//equknwgm+kptiWMNWyuOl4O2Fwt30eTnBswvI34mtOtc1DQODxED
y43nGO2uyWmCp+WMaTPmOz8ul4sgxn0skUGwzButC3SG+TvZHNz7JSafrUjV9EskdAPVXdkyIpLA
QJ3J+OIUqj4cu9jWjXM3e5M4MB6qTy0752ddxr/YXep3J7fbJ3BC0QO9mfVt1Yzmm42XkD6dprsr
fII9cfQ9BkZ1Y7Vl9wx5wt9Guqy/J0ZEOYcBRpM6rtpLQAveGvi1PGUkf1bCmNVKsX+E1jPQTM6w
HnmX2+lSeEG5V6Ob30mdPyIzomtw1qq30cgmPwGychtxZl7FDdE6n0XrPqnePfTC9SCnd2QZn/R4
XXtrqBnLhviSTbIBaArj3ddOCOK2UsXPnNGnVeKKoA69sjy2nBPcghhVim980cW8U3jmrqVQ+VZr
WBS+JwK4GV7G2k+StdzUOV6PlAP1IYvGelPoaQpJibhe2ABDX/e1iRDPGr7xolSUGykHl8G1C//j
C6fd1fx2NfqANO/IzDJ4uizoS7MD2yoy/GPWu8bLwDjgBEGwvFBrO2COzIN9bLIGOS0fD9vHudo2
vl9t64qZuoBKBOtzzNuO3y3Hj3rEU4THkl1lZbubDjFlz8gCkwW5YaFG/HNfZveZVNbK8hnx2fm8
d+L4DXbH62IuHnrfi72kuzyqdiyvUGt+OPD/pq7pOHEs8HLzR8Tl85gRCo9leihcCcuiOsQ0AbrS
OJdM2MxB3851/AD84+RH0aktk/1MYO/W5B5f473fg38hN36kPwsQBx7+tWPjpENwT1PLCavZuB8L
RpMBodGC5qo+rZ6YxXLW6syrSQCfk+FVm97Egu1Xey/KN2kGZb0TGygX8HLkTlvTmydT7OAA566z
S/vecDYwdR7s5DWa37E0KVLtU7RSYgilvoLzsPPfLqa34TrccfTh2V1vsSqRQpVdzrjyvndd3KKB
3jqjsxtlh3G2prsrfS1GvXfyZjP4VHK57ovXIRA119dwOLIVQxwK62T5v2mjBQqGzcybD5idd+1Y
mzshyVS3QfbcNjLbyih+YpgAKm6G+IRG9bsAosfh686ey03hBM9D6j8nAoK2imqxSY2GIkpxtpuf
FBmQNjpkHTeJVy0hRQ5eJJw5LfAoowjyGgRc9QqXkCx+N0gP75wOirOb5QFcrpmYRf9qYvIFjIbp
1diXSNZTEEAiJDNdL9bv2RuTXWKTaHUQFuJv7trXBJ8JZELwRpfSPi+5/LEdOtxE/Kw5QIRB1auQ
M/SFDSYhh7H6MLGK4++s6pXS2UNyNW8gpF4iYZ2JJBPXhnAFts2/i8z0S8NhIK6t7mQ13mviOZyO
X53panQoDKSy4hFX58lvSANbVX8vhuINIwnXZ36u2avi2DgYo9iMMeW7cZ3NV7bLZ6z6L9UNL2ME
B7MfCDBgX//kefJhEPAyR2tvKe+lTdpnP6Wedoqz96jCE4nAuR5QZrki/fvR17vANLYqHS8Q1UNa
XnH1w1UEAphtFVv4vv7yay7PnPt76cXJHe4SibpVvzPE2DI3ucl4V7nxS2o/HDt2pew3P6KIJQfa
wxVmhyrSc4GOzbo3IWs2t0lg7pfRXvfu+D6pcv4YyAtbmDWs/LmJToJlUIjxN2PD33lm4ASwgtXs
gWexo/m3brt7+H20fHAZLB1lmcV3z7qAse6dHdGnlgEtBsYdzyOu2eRkVOQ/op7dEJn4NuCUacSc
Y4e2DJ1G3rdR/9USpyGXVL3OpboLKhCmEm8+ASrc659LXWDvNfO1TNtDG8GbaekTZjg3MUcib+VM
v0fLv2SLeOG8cEsX+x369kHjS2WqMq29BqvFOC3YBFSSH7K+dcNlnBVGF2utjIrkETUpVOURSEgL
As3JlD3HcXVX6nhflhZCijl8u1X0pEX/7dV2fCozpG6camtGcegYVXQY3B2cw1OqaDF24HGaeWlt
59RV26gf4nW6HADFZZ0MHTWe8S5/Q7RV/HZ2o1ubD7nEQtoEFi6viiigQbpDqOE2neuXtGwOgx1t
OBoYK9Qng2sv9S9WyZUg6oceEwLXuvWqUfxeBYPe37qZ59WCiWNVBP1eiYRq47oTO9EQXiNT31Bc
q29ZZL7MtLjk0AbuaQbYYFEkxtbbJw9/XujizZXIxjzKmXxxrzZ2HuZ98dYu307H1AJ43jQ+UgNy
AiV5E3Xto391Q07mV5aIaluNzCs9BdUt/sqaFnMz5FLC2iFnpXUX1d5ett2RblnCyrYZ71X/nnQv
7eyEEd81/hgmN4yDXAUtvKPfz1EOJdftXW/Hh84s9hZ8rSSJwtx9S7zqINxk68iF4Y27Kqa7CU0/
w9yprPgS1GY4IfZmXL+F8avHq5NgH0FB9+nKRuN1weE1bn+0SD8GLLZmwfcXWOwcBOOA3764S3FL
Dm6xSzAakXO+FdVXZYOt9NyreStUOr4ZXXCZif1aBy1LcbUGGXFVDN+xD4SYjTkdxRNz2PqWwsVt
0nt708JHERCQmexD7yWbWcoTTSZEvv8XeWeyXLfOZelXqcg5M0iCIMGKqMnpO/WyZGvCkC2bfd/z
6eujXFlpHSukcE1r8se9mdfGIQgCG2uvBvWZDDfN7KopUF606dc4Efu2xiKvFxcFlHFddU81FGuj
R3dqeIsqxoEsNzeZ4WFC4p+k/B7l4hr+L4CesRtyZ5vnxk3AUhHiV+t6bCz+oYAUkRn3XTvAovXX
qeM/pbjYRvpjjSlXUuPN1yRXVcqfihJtTTeWdB88B63+UAtsQKIsWikDcT13Yeh42LU5cX2vJ90B
+H0/YOLra3O3LM83WpsEkP7HXa0sskwsrrHBlF9QW+IfG/jtsi1Qj6fjPSfSiivhIiDQ/OhmDi57
RfhSpfV4ZRXOhhv4ZixreTABszYwPX7YYXKBmocK1gzLhd/ae6xWl50TXyUjJBfdfLB0Y22r4MKr
C3ZE/DacGvafYW9CXlFrSLVAD9dfoi1YWPjjZtWvSqPYQRdFUrA3YlZY1qx/3EaMVVWF96WB0KY3
MAnX6DasOgUkHI+1TUQFVL0Oi4mAOz/RJquSemrRO7i2hltCbraZNL7XebzuYBhhvrKmf8Mv9a/s
UHsOQ28N4oBrWpcfJSpUYm8ug7JDZMdVHtcZrGrEfd5B3KiLcV2O4iJHg4Y/y7quJgI93D2lHVfs
cOXaFbD+RZjgSUFVkgyguxr4UN9ZGBd63zzKWsAXiDn50sggTmNbv22sn95sV0aVtGhDvCeRAppN
WNNwD6KFllhLBQM/8q11aN0W7SXV7LKTydHGXkM1O8PudoLmcTRCtRRESseyllS2/nrkvkLbdKdV
CnDyofHgXVf5SeAovFboHUSkNuFMuRpBJw0Oyp3d36fNV/o3hX6jxgfIRTsBr6xEu0Xm+4NWq3XT
4iGskfbTERocmWIx9ddG66J41H8i59rlMFM6jycwsLq1uQ/134LB3k44NddszL76ZRrFakjKvZFK
beUrpMmhuWj4P4aU9BZGMVrX3ZfAhpIF4tI+R6+18JPhUEfDCrRyY0w2m3B5J4Hb6AyZkIs1mtC+
fmEk96n7NSr3faZdysQ+AJtTibhrl8AUdgKYDgvqfNoDHhIPTGnpKGBmQmt+Y1Ta2sPVxbSMjcJT
eU9qRjm/0C26+HDb8i8agSvZdOwSuZqIyT4UsarRwDyjwPhW88HjJ5Gu4evfZez7fdUuOs2EkRVc
py31r1Hm411Ay852rqQbXNQzyGxmG3jhW76CfYDfci0B3Gx0Abx2P/sJD8bZ4Se9tpGkpmW0HwvI
mEJiuOTd1s1DCv1n4YqHJoSDYtAFMvAPEk1074lwrfe8fTIR4lCsSk6abWX0LEKSjS3LrE947SxG
0eDxHZQsf8Wx2vhf2FhuSl3fumRRE3yEkzYeJp5nrk2aKu6ADrA2inqVjOZA8e26a08axTocSYrG
f2TqpyMcxG0nyLFocwtvHt+Hd0U6z6SjPxKQNXTPgVqZpZsJ6gPg2CokAWk54Ui8a6rHqqSayUz8
i5N1h49NXdP0DC5JXEKy5/QUE/6tpcF4kT51jZ2wA0KVkubj7PjaWtplXo98w+6qhwrew18Hhucj
kyR2IbKZUcUu6LHbyanhJdQisDmoDXx30VFJ5ldfI75bJSX8nNS9LGf6RPCzI5BcWnC7vvVDiKgp
yjZDABGpkPQYq6OO+qUe83XkjndlSPkw0YMlWip+LvV73N13Hm8r5D48ldllH8NFzF2MmlrZ7zB6
2VRByrWSHW5ynXWVD3uILZhSonP6iVU520vermErHuHfloccR8HU7uIrD5mcHL1vsaP2WNyv9IGC
E45pQ6N7UWpFgpYD+o9DtVrkeBTgp35QQeXPzgR0/tioR1mrhcklFliP/tzSjrFN2tAz8aw11wvH
PyJsoeuUG0P5PZnypYU9QLrELDKzVz2ihHIu19KHkTYeMxtxhQybn16v0LnFG8h/8S4tFYQ+z2IF
BprenMYBA5kmCFGaQoTRsl1gtK1/NRCbXd8otx6MVacVKC2LXoePl66EM2w8YunbnJdNEU0lft1k
LZdatS7VSDEZaz9s0rXg9fPYDUoiXOEHc7ygX7oSdrJJOLqhLwoW0rqoRhQKugubbe4RBh4XgShy
Z/K/MqGgQXHBmqFK+c+73n5MGwh9NjDByizpwguvSb5OEDwvKlr45TMgaICMIAPCxLI9uG4mOy/o
kuCmti573ddWZZeFUG8ylMLUg+YDAEh3gFw+XsWNyw45FPl9yua4b1SVX7VBCriRU/2RD95rv4aR
DQ29Fzpt4JmfmFvThx8TFE+2ZAeCQoDyET4DlkeR/0i0VrH2smJejh1vebKLRVxzEIw+9i51iNOP
ruXfY9qnG5k7t0WRBTu744HRXllfxhjn8K4L2jXSCwqSds4ko4d3mOiGov/gBoshdPIdozNtQY+9
m+/1+dHpZ2TJSZ0nHeJ0uaDC7O+H1HWeQlOZILc+//67X6XCrrybb1fb2inck972/Cs6kKMabG4E
0hwoIhy3Cm9qrUYl2PqAPq9SnDxCycxdDOqAEpq6jDkAL2EFqMumCc3TFHM81MoNj9By1QWGokzy
WO5pvd2TvpgfgqK1d7WNCkiZXMlmqWKc0ZrkNojoCEKZvlOeUyD76H8AdVW3eHMh0fLRSdZ6Fj33
UzZrLGfZJhkpW6WN5V3/6lgXh/NvaqpmX9c2/2FV8vfNisw+izCxq0f+1txFFNWjd/HjkfD5ueem
d4KSfR6yLkq17btaXQRJjdS2pemUW2irahmjMesRD72O6ecpmqMpba8IFqwvYt4u1UEY3ChUfjeF
1dW7ssljCHzdXlXOi24W/L393GOMiQiwzEld9CKdG4Pu/I8FvAx8R/gnBb+7dpEu1QlqUMy0xBJr
Sqj8IT+0dhCb6R7yz99PasIO98jtA9awhi293JdazurUIhDf4NaZ3/ww1Xd90PIXz3Obz/oxTAD5
tLCSXtMNUOt6QIRaV8U1lHwXOJBsQRrZWytEohaX/GxM/LhI92ISFCiaQc06PWJKimNqod3heceD
CVZROaY/aiPB6LpkgvVQI0dIQJRz6Iop033RXT4IP3eS7asotvbR0jXcLb9FmX77uphef8Ckj8/a
5D/lUQhGiC/qLaJAxHSu9kBLFMRg/nG5NqtiU3S0rxNkIdTfviplaQCvlJuyOTiSGzngYaxzLbUs
w7tKPMI4m7hG2DrMR7uwKQadwT3VHtpA5TIN9BSxVlAX9KsHmlOzrXzaqq0FIeCQRO6T8PRy/foz
QclfrA6DMiQgsFBcVL6vAtyod0994T++/rjGQ/OuWba85ZPjHmTx+2tdIPgb0fHEHYM4CYL7UEOf
nM9i4h6pYt1wxZrnD5esgxLFdVZm1M/eS0zaAj5tzEs/QcJUXTcsfH929hT8mJgfQuwgxnul9lAZ
wQ8YtA6Ocxp7ouUQ5TQvflWClkd88Kwn7UW4HpRsviNHr/oNJRr3N5DBBf1GbOxmjFYxmJ5Z12iP
Xzzl4+NPDbgi9ynZIVdsfg9vhfIQN6yn16f0ZxGghTB+Z7rds9Xwl74qo+vE5hMfOpqHuIQ2y17x
rHji81Mwvd9nDR+18mfpoY1ve+BOh9icH/D1r2PLef1V1YDquc2SSy0Yy21W8kG9TkhewyR/1Su/
PmE+6d6VGmb5stNlB6vukts+xDUf2Zp21KxeXSjZqC26GeTUfc5+UfbBzevq7Mtp+K6AT7/mhtCO
NQrXk98xfk+Iy4UPbe33q0bYiVEfvKY1CZf4PcQOe8/rF+VX7Di/WxTpyN8Q1PB5CMFIuPhrd1yZ
QCKiGmpA5Zbq3lA4itchauzXV9GXFf8fP+bJ1DBWXxMNAVUbPtmVCZpO8sombH1xD+lI7rzYL+4b
HRNrNzSMA+6v2irS4uI0mK3+1bVoX+vtbobZm5JClN48oaahFm05gmDBTKm2bHoMNUys4zp4Dzms
Y/+2i0tu9dq48Fq8dxoqv80IE2BJJNevqMyWkyiIg5nETzsVOB8Pt31T/3RpeKwxf16r2kFkEgi5
aYuEGJCu3XsTf3jULyDgoVJOs2PTFtpDMCGXG4bx0KAO29nGHGziVAc/T5Lrtm1o1/IPbtX/hKrx
rc2CbGuX9TNUlFNL1RtxE7La4slu/WvF2l+Eacwd+iXxblyAtqjXNiSPPbbC+kmHAfZe/cwOdi3y
xKbpKH9AFz7GPqJAMS1Ms78aLByNmiHbc+cUuwoK0ApW6zdSNcFpS5mzHZdXZe5SKmY3rd/cIPz5
QQyoiZmEDnkNlxvo2Zgi0JN3Rgk2azwObX5XWSR0cHlBPrEhnuwmU/jr9eJLYNt72apHC11XZQn3
ZsACnd03q7qlNoAv+R6sFC5rLyVS0lhBPk85sEBtUF+68fhQBTjb+D5xJrLE2mc0HyrXoZ8lLyiJ
nq3UhWtdmw9uJn62obXrXYQBtXkb9hbhMAiabXfhFviRV8NlosMhiGc6o20g4MhKCNNZVH5BMKNx
QbkMgmgtkxLfJYSflbWnOHsiwHYd0Drw4Ioec2nc4jmSInY34HjPZO/Bgh7VBg9dgdGTn2MXg5EA
tS4FchWXqxBcbGGzWeGkeMhs2hk6nJ6lr/NG+gT7hiFr1ipEvd+WMUJkG5MFhPEPVV187bHuXbVT
F60LzU02Top8ua+ktWjZpVZur7gi4xTiYa25KMCxl00nfERgw3hXt0+Gp1YSIfgKO1hn1WIKvxo0
lRzwfor3RhAZO/LjcAnXk+FLQsH91LVetNcm0a7wOsPUM8GsjKdPFuimTApLBbLfqe5KxxwDM6Bu
Wo9RbGzTiZvDME7x1s1FwSaq3VToSYfEwsisI7GOlmSyyrXSui/77IWOT3LAlnK2c2mInGGn2GBk
HB7Nqe0WFHn1Y2eU+Or7qrqmm1+tOvyW5wHEtrfr+FeMvpJdExbESuKpsDUKGV86uJ5+RTbsHAgq
5SW7gbuxba53cCcxyUWPePBZ2IiXCd7YY8YUbBwd5pKPqnPVV9StIYa33D4GNE6t3prrys4MLK1G
CWLlJeJQZxq2kH3Ky5C+8TRY0B7mwB9y6ZKyXA3BUP5gW60wydKTPToobGwSLdKfcjkr6mH1+Ufp
Y4S0CJownQ0m2UQ9XtBCm/WtUHOKCyzUaR+Oo/MQuZq3HAIlD4noiGOwOig/quDbTcooXowtCTUL
00BgWfgUcEgSA2cRmsYTTjTOIuPwyRbTUAGYePlVLVtxtMrJhUzr6tB66mzVkpZ8GtoE+qdTYB6u
ghhhNov8qJPSyLXc/FqocnghV0bipTLES9WkiH/npjVeeAMM3L51WJAYyJPQmlGJ6g0JR9sJc+a7
wCLWDGZ1t7dzbOMwEMGJC5kjNVrICXzyfNf7Su5N9PzqKuDnGrq/ODHdk+VQuPUDpgTEqiVbbSrc
O1BRkg3zyS1eFN64WwTAiIPmkhfqDybLWeGSU+KSafStbmwK3DzSXEioPYZ23YgLxup32WqY4RHl
Gs4Gcc1ZGcdhs54aG6yU8MBpPb+CZa5xZAJs0+6hAdpsqi7xLqKWx14MUTu8+IbJ3hzX5mXs86JX
ueegULRkL1bo7CcDf9AG14FhLklVQpH2u9AuKfXJwpDNQo9byId+Ro0PdSW5rcrQv8xj3gGRRNg0
d5n9hN63RtShEShjWtEpLD3vYrQTeaunAVlWrWavQqSBCMlMOe1ciMz0Fs3I2E4mweRLVLa0/UwE
EFUgsm0cc3YGIa6Gaed8qbWwuGhl7l1XUzgsoZTJvY+ZwNXYOtTYBetOx1NuozeIK7AFvjW1errI
WnrpQNyNuwpskQG4jKkL6BXKLY1rM8UKjwisRRYGMQCJbH+ZogtXQWVEOy+c+uNAbc2dO502tcQZ
xRrAq7CfyLZpbnvX02Ryt830+iRCeIgLpwkl8J5RGy9A2OKEq3pyTQO4BtM3Xa4XKYhyif0GnhfQ
vS412uJXkz8qfZPT6Lt1mfrHsc/xDRzKMV8mStTfQsy3fyJkTrfSzrUMAAIcCyUors0+Yq/bNJHe
zrMJnwuNST5KqdGxLcI2fEkcvclwhlTGlZXP9Hzfjn9ygW1eEFGb+35ANYT5SFs/GU7jO/OY1SVx
a+ax7Yu4mlvP4R5NbwsJM5HxThqkgjeVxQRhjQDR10v8U4BtDrTEeoiypVW47Uk6HZ5zqW/2mwrb
U3axWDpfCy0qTslQlt3aDa3oOyFnoAhjF5XbMe+cy1R15jPiM+R2lRnG10RQIRiMfB9qeImj11Lp
VeyvFLw8rJR61q6uzct+ru4LW4+PBmpWhOtVg+81pDQ+FiV0TmkjTm6zPLMvEr5ga6nnObYXOm1R
zCgq4pdar3WuY60oNiIavC+06kDmKfMh/mnRhnjCSFuCBT0QXmX6311u2tykmtYwT/l8VVkGnKvq
UkUlH1U2YvDNiSloWZKshw93IQZKEwzztWOCAQfQHOWvtjbKMQY+E1gAc0GPq4MLHQ/OcgDuXEDs
T3GT7azoCPxGRge82no1GYiHT6UbBi8hNsfPhJhF90NrRLig945vr6jEcG0peZ+sLg6TfMUhpH2J
RAwl0NU9blwt2eFAuIN/0LQJei9wCl1zyIzyRPaOIn+qn67jMk0JTWlR9UHGmewDZzWQcufJ6nHA
S36AU+nw4DFC5RetMZxv2lhMS88Mce8xHHpUpCd6GVelOtkPBqkBbLX3QT3cjEVekjGIJGPpqOKF
cN0D1d0dVtH5TfyKtVv+Djs4oAsVTiBNHQB7iCDkNkWXhfC5H79bZXs9TqZ+SnwNtNDhv/UmQmt6
mCK4rOFOvmaBWqtQdP7NGKfyUOUmkuTSd9Zdo+SJi499Y8fBRPjgAMkIB/KbKgmsI8RC+8mx/Vn9
zGZUunNhCcX4iBOR+D5g9LsZqC8OKRMdYmXueQkZRvI5HCR82761fsAbqKgwMO65qzCCzJAXgHDt
7DAdBiwlRBusphpNMklYkTvgW5Jkx4IqwFupLs4ei7btMDwzZi0+LhvbQMDnmQn8ql/JLtd5PHiM
zgpp87AigKC+Kol+yNdliMnnkq5RfmdUyvkha/Ayz5uMp85ou91IVA4iTAPSOUnL5oOQWT638+Oc
dMjBdL8XOdmw0qRjUlnxF68O6ycMzGCujN9b6ahbNrmOrzJzmt3YueMPmQt0Zoj9SMQDmmBL4mJK
qaAMG24SmD1LOCoWjlN1+4Qt4n4KEZtsC5wfr/B1m/FryPBeMWJb60bSuQLg5XowdBDgc7Q5GLmy
11N5BOKQjDiOic4t12lidOwzfu8/ayEWSUMP1bVPAb6szEIMSK2WJBpvGp+iBdQBrknSySG1VAYI
FkAmYaJkBKP6S5/YFttrX3TladTt7msdmy8x29iyx7IMCSmOaYD7q87H9dG3FGwcFyPPdpDjqrTL
4N6cIvvJRroR5hR/C88Y4p0mBDWNjMPrwbW8H3A2O4rtWkA5quQeLIe6BtcMxD7NFZYa2R3WSRzS
mdziEUQfvgwuDANJ+cKg2zeSOuD7d6XdPTb+lWlNHXCZtofolNJ9pN14Axe0u6yzHntK2amdY1fj
QU/a/JINVJAxgetghTX7hv1H7Hvfj3/1UE5jqHMWtGe3OSYm6queS+G1N7KFWE5Z36aavyaVKV5W
oIE3GVGngLBeunNKpK1D33qXCJWwSGE9yFVYlMkJxw7/An4Fac01Z7Jmphv8O/wToDw0GCOHGIJZ
wVoMeF8iUhf3TQ/lpjAjIgPc6RsiDHuJB6T3dcQfYlsqedTq+DpWAHNuIRCREYO8BvDVIKzV4wrr
WPDuqsl3aNXt1TQi6xni5leQxuz3hf8MaRIFvUHsGsRlQsOQRxN3aHwrDe1WlEZx0xRdfOubvrex
sFjZWLl36fdwc8NCax4KA1GJhYYE8NuTl0mTON8kIQJIbC3nlz+J8TIgzJJQsABZc58r8LbE3VK7
XVKtRTemM+B8asTuNcBa8yxblnmiN/Wz1NrygH8kDeLZhtVHTQMabRkXysyJvp4Kj57GxP8gDgAf
t7otAOyAqy4v3asaO1pVGAKdNCfud2RYDbDoXd/fpkMQrcSk810gQTYutIpwRpIP0mOkUI5zf4KP
V/Rqbfc4AtdUVG1xH1nx1o8VX1xvWuFlQQfqgAahunaHQCzTwK3vm7gcD9RbNrd7sKXfCM/EYXWk
wgINUsbsfqXXQL5ZQiVIYgjtQt/fj4Diawtawhp/TY53jiLrqkrycA1WidoqKel7BJjV9n2GScfU
QBLRpbyy4Q+eCLmsD0Ujgis66fEa16wRgVBS72mETTsMA5aeEoGPk4NlfLEjIztOiJP3zQAFCziF
rjfa4PDSScCqEJcNHEt0MjJu50uj0pKrqMrkxo8z97JKbfeIz1J4KguNCkYf0n2LofbGjp0UVGUc
/X3gFfzh3ty1GULrksxtknEAHPXZfbtKTjUdDgu9OkZ7d/RUCuyKhWrQMHS4DFtaQkNSVBj8LgQx
sPdYtLSnUNkRK8gWq1zCRiIzVmDoNcDwiGihot7vc2JAA3xpUCIapx4kYBFQ3V4nSQrg5HVFctDB
NmF8Te4J3wgt5dS1cEr2Qw47PIWKfWC79aKptWFNPkm5l0Xpfcf9yL2ccD55rio8BDskyTSoW6Og
SZf6sPZI5wGCDPTkFimY/2Jx7TwQqtDgYzgU3Qnwz7sSIGhHizDorRoz47FVjaA1Dj6QlYDSvQN0
R2A06qQSCFR5+fUrrogsnK5xChYMM5OWhIj1/qfg0vdI4ITaOq2JfFHNi8YBoKWxhKmiRH732vDI
ygqcD4ri3tFoL+TcbUDkwtnNLS9mIVRU82OnDvmPlevBo6WlNH37sE5uUVXwBwKIpzF+YtR7LQ0Q
ECmqnVdQV8zwPlpaQF670n+Y6MsSG2tlfFefsV/rb7CS8NdJgh9gZSOHDHvqZTXOPTQSJ1cI2bT7
mmvixu2rB925C2tYdVKfrmt3mJt5xQozKDAaF80TPjr59UA05aIU/U0cDdWmctE12VRUeLA05QHO
l3PlB7paGS2lDC6OYHtjDc+ydtR20pzDKPG9hCkKqbJIqWi8nOQZbagXHk0MH+6Obq4wKdKe9UbV
G0QH0yVGBTh3t255HEIiQAJCU5c5lG1OqhHDnN6R18I9TChrwBrSgHxaNfzwXV5ri1vx0KXklqJz
ZZlSYde6ydEUs3E/51mGNRvetHfUUKRXR5jtWToX5FeicFYysXrT+S9VbFJoq8gs72oJQtsRqhov
NMVqQV6VrYBgMc5RPffgsIVhhQtDhdcKEd7et1dp9T8JDP5/yEKAj/9xmNr1c/U2S+3//In/Ehig
ObeFaRF0gJZgVpb/x39lIEj1nwq2B+IBoZOHjpTg/woMzP+UShCwRgPLJMKLnsB/6wvc/0QMoBuI
erjy8If+SV6AhqH47yg1VAAKEYNpONyzcHnVnTNtQTdNeFm22dyr0rrVyEm+dITVrP/Q4V///vv+
R4aHMoFqTf2//uMvXfs8ikBzbxmKasE807XjaFFwzPAFkMoLV6PVJJXvkDyRYAwoGrva5cfj/f1U
UjeYPQyWyRYCJX6rmEjgn5N5rypurq61wXgUD6GkMxb/Popgj+Cqr3gN+tlTsa2EUaWzUUZ4jjzq
8If3TTFMq49H+XvupD7jaPgCIEGR6izErSo5vRoa0tRkNPxmLjuNk7iSsl3kOPrXC4Mezv3HY85v
/e2qkOTVInbQFSJTU2f1/RnoBnpeFkgW5x4AJBgwQLnq0KRe6K2yP3m8d4ayeUcGYYMoC20TIc2f
Q2EWp+dYJTNUgii4c7NpA8xCHzhKk8PHT/XOTNpYNVgo30kewY3y7VCysFHuZlgEUU1E+5a03p1N
lufJygV+dhXb5cfjvbMK34x3Notjk09oYRmvygw89lMDPG0dweL5ZJz3plCiuzUkBiUIRc/WoYcQ
nAAmidg7KYMOF80pGldN2E5Pwu/KTwZ7bxJhtc5mGEJXzOPbSXRR0qk6GoFzRkJT2q4yKb5gaUhL
AeIPylp+PInvPpzClMPkO5Nsk2/H66zWU9AriIGFNIrGJzLXYWMieg4hUX081Hvvy9Yt4fA1w9E3
/xoq1AYymxkq0LFIqjy5QWDlrz4eZZ6gs2/L/nOU+YH/CK/EMbSoaoMHklN+FQSOv1XxWD44hiAu
FdbGQ6Xarx8P+d4c/jnk/E7/GNLQpKSumYWpFXhaYyb2ZR1NUM1Tv7r/eKh359CwbGVLS+gw3N4O
VbsFzqZaUIGVuu11DOSx1NClXv0/jMJi52O2LXbgs1E86VkUyE6JuJ7OhwBP3oRdbm8/HuW9pW4r
wcE8n7auy8n957TRWAwpjF/TKF1hL5WbxIfETr1faVEH9y77VfPJx/Xui1KkaRoufyMr8e2IkRYk
FXYd8P8tx94mXftNWhY5aKaz/vjR3ntNjm7p5nxyKdM5WxG21AO/l2wZgYehPoCPAh+iw/XxKMY8
Q2/Xus3GDiZMkBMHiZjDl/5YeIGmwhZXzIoinSCIOhMQrCbaqjiX+Hiq4ahR2HLreXEMYNP0M0iI
Qcekc+38+Jf8/bwY+1i2blKczUXP2UcHI1HvOkxiFkbWJPZNBp273sOtT+tP3qAxb+rnjwydi5gT
FJZoOedf8scjD7WvAmPIsZqj+wF6hIiiRI8187YvfFsbDvRy83UVI+cSjL8c6NcueQcN8Wdo3Em/
+fjJ/95uXA5XvkhXpwiVcwTXn7+nH6mPtA4nkIKIFi5yvotvrNnAiFtBDiSrJcSGDQ0JeYSfvP13
RzaRfSoKXOb97OWPXUGec8mu0wfAdq2fmHCkPG2bwskY3W951Jerj5/177fMs/4x4tkHO5oCCqfB
2TRwD17inIzhvWizf15LjMILZuJsx9DPtwXl9BluOcyoGFW11NzBWs6eiJ/M3t+bD6PYghoWRyJb
l2dbQUZua1w7sxgXK8FbENxyLeI62pJLGX2HETptPp67994WS3a+c0i+E+dsPC/OpzCRHEt21FvF
qiuVdjQ9OB5KpfWFiWt0g3slVeAnz/nZuOrt+oTIQvsqt0os9OgKRH2e74ugneiyatWxBbfAzCEy
Ptn+3pvcudrUhU4Bb4mz7W9A4VomWBeCtxvyKxGlQ4unahdt4YBj2hlkWvP48fT+vbMTWGfMUnHc
FhFvnJ1YLVkQmawhgeOWkK1w6YJ0ntKT0TLS2z4e6p2vQAoqGFtIXbchpr2d0diaprjHLH4x9i0W
nvHUboZGflZMvzeKBWzOFVSZOsfQ21F6nxSBwWb/AN338KYJgZ0Bzqpp/Pd3Jf8c6GzrzoBsMJMc
8Xh0in4rYqI748i50ctY0kvVP/kM5sl5u33P92pHn1eHNd+y3z4W3zECwAAmb9Lp9SFQUEpQkuiH
HMOQdeHY3f3Qa9osVOoJwPv4xb3zKSD1t0yX+poLuTh7cU48KPKfOf0nrXHvcMUyr/B9bZeFKct9
XtmYhBYBAQ4fj/rOynRNnYsyFbbNujHfPjF3ErsRBv1ZaRB2UgiXUDADLCvUO+2TnfO9B3y9K2On
g5+NPFszqqhHxHsF8d5B3qEbKtt9Khp5CIl43zWegw9OUsLi//gB33mlQBzgDhQiGPiAl7w5Aaug
NKemYVTRzt6NSRgqJBl5faDl1l4OFvTMDNL/sgRl/mTovz6S+dCljjMx+ObIOP8UkdNkRVmyo/gR
ljimnokNWEx38fED/vUGGUXqoAN8ipRb53sLzBTA34k1O4WNkZM/HE0rrrjJDsZidvp4rPeeiN2F
8hNDMQY8+z5iusChLOi2xoh0CwBvbXpCXpQ4nyyVd5/JEnjHK5AB+3zmkMXi5o5emVVJ1w29m3Wk
E5fuy6GtP/nk3xvKYf3rwn49aM8+u6b3aN2mKUOVfo2HBnFxxTR+Ixt73P375FEL8QkYgLPG+Rlb
pioIB7xnaQljRVRp1LoBQPb6n0eZjxk+LyZPd5y5Qv2jAq19h/yxkF4vrk4wYW0S58s8Vf/+giio
ZzyPMSCyn20b6KzBrWukfL3sKC7ZqNb5oKIbj1blt48f6J0XJMAPpeVKNilwqbcP5KCxCzQ/xrSn
bL1NEzdIEkUXIe1zf7vm/Bj+J+4S17/3+T9xyndW95uRzuoC7JtLbxoj5Fp296CcTKwz0ys+WW/z
X/LmiHEpOjhZuB6w7wrrbOYwtSjT3NBgD9BfPJX43d6los/3UJsxhcQPb9h+PH/G/Df+NSKep66A
8S/l+TVsKpMo6cmGWFgw7TZNaQSrIUOT77kdCS64u2DTPnQINUPpbvFgMPEL1Q419nzoj/v49uOf
894k8yJtoHDwWfP81/jYd7a4eRAK5XZkq8FhgkGd/fz3QRxp00IGSGfdnE2yTWBBWBeSdMAQ5tNy
7CMk+ZhEF/Yn38F7b9NxLWAjPAIM2z1bMp4VZ7oYWZxZlEHiCQTpb7CwDdntskYbPxntvblTNq1D
5eAxJM5LhHao7SHtcnggjfSw80ZfVLCLrv598hSAh0UNRB15Dmw7iVOJ0WdHjMgHOuUowtbkAIWf
wLHvPAvTxiWKHZEXdT5zcYb9GsSruU51gsukJ27UCGXwr1CRC8wxs9I4tbhMnUMqCvdPzBRY++hP
04t0xHmj8NBcfDxjfyMd8zD0Y6VDL2W+H77do1J7yiX6W+hVrReetFGJjVEmhxxPvIWtd5eql7eF
pnvrMnC8I3j3wXaL4pPz5a/6ih9hALPQJgBtYWLf/oiJhBG38RMKAbszjXUz4Bl4bcGv6k6y7Xux
JOchCfdV55qfwbTvfAYU6YpWi+CwhmT3dmgtD6TekgRFNDPcuGWgE2LcF+FJWL61bGuP//14xt9b
PYZi91CCmA+GfjtgCy0kRe7CnjZzRHu4FlDi0Wp9PMrfR4/BKwUhYwVJ2z2/DoA5+0OFsz2B0rSJ
E+Xke2JxnL3lucEnS+jvGWQohYzd5P5h6ucuX+yVtl5JZhBmJy5NY56UCg1vYHxxayFfgj7Fdf/j
p5vXw9tzwaDg5/prQWnjCzybwyAu5QAPFLlKlmqYk5byoWz76XvZOsnKMDKMiE19OEIZy3dpZdZP
Hw//93JFBExhYIO4u7ivne3RSFR1v+tblMoJvlmJ7bwklfMkMwAqnHtSdNSfVZV/L5p5RC6tdNNA
Wc/v/XUfRtDisVbJSKHYirJtd3wq2Sdv8p1FI3X6uXMRBnxjnk1rNRXkDzod0U0J/ByJfqVZup4R
3GMFK6JPvgP1en/58y0Crilay7SJKXgsqZ9No9EZbk28N15KKRy/Xct2/VMLDA3p+xjVdwOxiCj8
IZ66a2yCx+JkjmYhtpT38OTplOUlwlp3jmvj+0GQ8L/ZO48ky5Vry06Fxj5Y0KLBDoArQ+uM7MAi
UkBLdyifU42iJlYLSda3fEH+F8ZqllWPRrOXiAvhfvycvdfWCvOS2Z82RVSwMA2aRrTTKQCtWx5m
QliG8+wL8CTIqNf2ODeiy4+02hLrzEu9pudk3jSqChxTG3vSSDOynwjvO27DpHFza47NbWZXgiys
Etj03iiLrI78XzLdBULAa8fmg1yOxB4/AjKFLZ4MO2hspdtY8t75JQH2fEi5d0L/hZRtU0SFTISQ
Gl9gJMXJBJFjWQ/ZL50xO0D5vQa8T3gwAF88NwaabggP0vUoKSeotz1PM4k4HTvAgsRmeV0Qy8Z2
QRbVLvURQ0WuSIFn9EnF8WClr53vcLANw85tyBo7VsIol0NaQ0DbFb9U24NpYrGYR2C9EaBAvTlr
BGxDN561bMawJBfExbNF9lu7CchxP1ivC85aqGOkgwSxnQE0RrJbwzKfEzXXB8ZjJo9QtfRCln/I
2aHK4ZvKaGTsyVmDQpBOQZ6eR2/xiItzZ+Ax+kw0354ngFc61ZWG/j0dUn/vD10NF2FWrrtzq17W
IYMHpPwm3367G6c2x5VPus3a6KHyrUGFquF2osPPesC1NVS+kJQLUmxSkjMwO6LtEVE1LLkXJi7U
puusHhpcL40QGBkE6qxjX7nwAINmLCAm5UVNLI9BMIKZpXKKOUDnp3FetPWy6WktIdnb3PGoJhGr
Bn6Tv+S9Pl3Vsy3hBMPBheXZrmx2edUkbzKoPRtPCRHVMTQQoAzZrNtAYJPmp4cCH2d5Nf3MlI4C
ENEOvh7YEKRH1SW0g3LsjX4n5SC+WUO+5EBT9Aot6srJvYV8da1IB7ouKz8jQGKw4EhltqwrGATY
tACceUzkM8dvzsrcvCkK+NQr7Dgnjadx9t5Xv6i+zDJwSJ1KnNu6y5G0ZS7PMMwx33EEKKHk9EjV
bm06rHAJDdzNobn2hJ+3YETjyumIyuqbiTTSvMZN40nXvcGTibIWv15xR+jfOh6cNYMaJjH6Ffsu
8EWzawHau3AukGaHEyABEeW2l70t+IR+OmrSjdAhCu8ymUZV4g8hxwu6t4dTZrbmutw7Rr/cabwc
cD0k0Oqolqo5jJ7XZA+T0aUYeQsBb2YxKk+EzGqtn3lQ07KysW5AQ2n7EbSxR0wBE61R3Ff+qvM1
G5qJFiztCdmerDIcncACV2UYdQdRoTexcrU5BjVwV6kZ86VUN0vX6cOlpcHkaqTvgvrAd+ZBANaM
q8Vq9B+l8olh6RWhNV9cptfLG5W4U19ksA/T/VKb+XzWoGV3l5pDFuS9WeYkTxkFnrLbHtP3epnq
svuibGPNnlMkZsm3Sdqm/gCwtp72PCHfu+s9ls6jnQBc2Td6M7tnmWukS8KAJAOpwq6nLprJNJfN
t+yMSMoCh/hknqBE+WLy+8CREVB7YtNZhsOgq9Tdl72XJYdeq5MfhZUASylnmSUIzwbk0V4VjCIS
iL6YFKXIvN9HozE0Rv3s2OkxwRmQ3/k2s+yzVlCt74PELtzdsowNYJCEPM7bzGPi82V7EawfuT0t
RGdr7bBl/ergLZa7kgKxeakraO8Pzap6dWYHsOnzY8upyuck9aXeoBkWI7aAvmBzw7bkDOmyUaXm
LlkihVlu+JmMflrdK5ig1gVcpZUnj/KblbN3SJu6XX1/9TFqTCXpkEZqAaAytRLp3eS28A8nix/V
YvJqyEVPh8W8Egny7guiRslmbdO2c+/mzN0sK7bHQkyxApGuNyFIE0qUNdS2hWxf7DJAAb5a5apw
86Rpf067mq1Dp7dHszFLy/HKNVBIPiycPsxfKlzTvxxKWAjEb6Gciwai0Icb5QsGv1NZI/rs/DyB
Kc2d66ORI9MjbujlRgdt9mAlBh6+zrLnNWxr4X5zUQSjoIfYjJWvquErrQgJXpWlABKmbsWnKj2Q
fhTyHUkTwEwb8s86sCta5hLMVDvEGRa09rW49EcACGuO8wsdTja/oLmGoSG3o9+uxAJwXWk9hCha
jDpS5bb4AiaWUA+tIsp64b9WkVG3tOp0F1FshMtkk6rrPeIrG+j0G42WarhSwoOZP62clyPL65gB
s1ePJA5qS3CzFoURnBrN8O/bykz1M/H240qQZbDeOJNnA85bMhZprysn/5zAdicTThTNd7spE5Tw
TdN/L9bUvoGSY4gY99zoxu2kQCA5c1s/A01yQRImffulGoqx32MzbR9aYhWsUBv1lqkQSPFbkskW
j52prWp0SErY29yG4BPwsMSBeHIsfyA8ydaoqPwJmo3bSjfKhVWZX52qE/Bi17S/DpItidrUcmhn
hU04T4TYOn/isLvUIQF65oO3NHNJbkoNxMcL0rLa2aMp3n2rHD0cX5BHQ6vt068I78mXY1FRF65a
u1dsxzgsy3qFrmetFRR63wBGsJBUGbrKIvAscZT8PhnSurdMfJQYwbJvtECCB8dqrFfY/bkdzVmq
/bTkPN7S1Kje5cQyHiYE4BHhRFj6txXHxrdAq/L0wCPLX23RqXfSJ0tQ9AXUo8n2xfdALe03hj9A
DIm+apyQssci1BpU8BBCLemhh2J0OuiIX5/zFEHyrhqNLfNTtECsy7wFTD5ZMx4AZiHK3AEYB8Zm
EnCgHchRKR5R7WI6xtzsvAvpQI1sCisdonYMGjuCu0LV4o+Aag7wsEovZr6VXzsJ4d1H4qDNDD+D
B4lM6GnpXtZqZTxLBx5HAfsVUNMR6FS9YyBYTV9nfSXFVMtXB/hMvrqzcZsxxOAhEq+pt1Ehiu4m
KZIMp8VatlMkIUSZUWUi5Ypthew6dIO1BupWeFQ/LjbWt2BmU4AtqZbY80Q+QUnU8+RQlRs711R5
8bV3vAWQBv1zJ4TOQGqC43TNrqrr0ow6YkT2hV3xP60egB0eR3f6SqhX+jyUFBtHO8UczweSzBew
XOcXtyBMGdNG1d0QhuJjNCaYEoeOGF25t1qhc8YLFEiFVol2hWSE5TDUcCSjUmfu5OzUWHf3TjHq
YaHczCdUNi0gsboaTN962SgjZu24t6PGjTk5XtrRvU6RF6OiL7zXJc22niIB5911r3TzSDh97Zxa
q1pwEy6aTRCXNxoEbHLiIuXUg+GDISoH7My2p92Y5NMB9SMg6GzkHOIPxexSERBnS0SzSW506M1G
+pqlvUfiPKDYcsdH6kok0uy7sevlFEFJ03gXQVV49gENtgb2Qc+WKioQNb5JeypmfN8DsupMZJBd
K5wOP1anJ6qXQjG9w+bivdmaUfXAv0APxC6D8S9Kphje9MbR5b7Azgo2oi3ltZUU6ZfZzAIKDgK6
H+qS9ZgtY2Wp0uU4OVGvGrT9gTP0SZgsg/OcLZmHLd4qnEsSOMq7JkFAGGU43e6JQaP67bR+uVim
hD9oqlL81qaU2cuEF9mMXVigC6QaG4MAsK38du1N8+uSL8gDlkVOD1K3UpZvPyjIeU/wCAMxgQA0
mPr6VSOuBbKuN8F/cwPNbaLAd3EzJeO2pi7wEkiamQL9cvExSOXf8FZ3aA0oTjH4rpj5ItsG/gl9
Cuf4zh9xDjYN7vQ9yRVmt295QMHedhv8qOVUzVXMnazvORz333AMbK371sj7/dq5QhAbXW3uER/p
edSNhUXFMgzVul/XhjGFK1bzHk9MyvFhXUZik4tWnPhZ8mdlWv2LgQHsZm0L6YVKeu0P6NTqHSYG
Gb7I9uwltjKQ+HFXdOmupQHN12iibmAbX+wULNQQ3BmrbT2aUrE4UGlgNkQ66TwOq08NIgtjiFHG
J3c6dEJW4aStj4Ec6urK0MjJAB45adddySmWXBn8tSv54umxXF3OncTabbSDLNHdyPJL45xYKBbD
Wtnbq+FL93Ym3PfJ73qLCDjZNT8mvZgfxlYGuAcb3NQDJJULwiaw56+N7T2Yebf8dMtiZLMki/Ju
ona/WucloBFl8rmO4MyySOcs9FQZBQo18k2du6UgPSrKiaz7oTKh7gmnQL2bAtR9QW8rSZc1y+mh
Wsb5q1kHM0hOqpaTT2CAf2YHXH1crcj/IYAWdXsQWsu2pbqCpUjhmcUp2CRijcwmaB8LtcFF0g2K
EsoOGWpoVgEByiRpTXhhjTH5kgBBu0/tVAGzGKdmjVfEuSs7jZkkgB4HIM/2FrMTWfTy4RjwqUCm
9ItlXw1Z8NUMmhwscAa6Dwh3jsOEqjx7r6pucPfK7rYmgV819wiVURqVIi/7kG5d4x8Hied/5/f0
n3dIbDBCM9Bn8hGskc+kf1J4c/8Zs6RKynGAv17ynXK4mK80NY7DcSHGcsA45Dr9A/V0oDPolIW7
RylqmzvIZMjZFdzhI/hebX0ZST2hO4Djwo1WnEDbXgecMDSkoU8njuNdhbfImR4HQhfzHS+blURV
4rg8EV6JIq7yZrFv9dIgzEq1KYDUsjJSTGLEPKaXcO3afo/3u3EvcKKzlaKMdcZLs/Nq0i/bBL+0
V6jlh451HjAc7IuXUQNbT8Hgg2cA6QNeuirLR3JnbTMkdhHZRuMN1IeNpdfP7jJ5WdyDzsFGySLO
5p2UlMlrTWgFJ62l/Uoa9cBVMgRgfApki7tlqqoYeokcI+BUi30RqLFTWJbtCnqyv1aEaRXe1Efk
ZyTf67mSRURKoQc0vQBmrLw8WcMgcIoBxOw2TEyMqXAijuCWEy2azL4Ic8Qq1eZMC9hg2M/9mNEO
ySA5C7mhLOI8ms61JYYbrVUYfJ5KDhnN6VcP8T+yofy/nnNhbC6Q31qr8Zt8+8sPgi3kev1W//j7
X3ei+1//k6SD9i8P5F20v6dd/PO//acZxcRxwuiemYtJN5kPl47w/EPIv/8Ve9/ffEQnWMIQWxjI
/v/Li6IZHj6VTcZJPsamYtqE8wJbbMZ/Zhp/s5gsojpAIstQm5n2f5CAiBXkjy1pZAybQITerI3u
FlXDh3FaNVj1lARzHRVtCzMoSVb3LddGKQ66KuZhT3uB+Xmfk5IMrztVl6Vh9Q6ball3W9YqHSfb
TcfisMrASiOuxeTBBkXyiAgmu2mlZzMTXyf7xs4MUCmO3jnBruvLOj05RAMAByCHOuQv4MzO4NRs
d7XdNuuB1upQf/GJNn3b8BnE3AeWNe9yO2MkkOg5+GZPs++IegcfM6YifW+smvq76cBgRdYwkcNu
6kq8SNhny4Wn+vmJjwZElq+RXEUt4lnrfhQ5HDjqrX6jzrbsUgAb19AuF43zZEtU2RHo4lTccBVQ
JSufIBboeShMn/MIbK4r0giH9NCXCFQfTKWA0oTAGowCAaogniyTg3fdbBXnwSNZXn4l0NT5Ac2v
qPfaxrMgcV2AhK0jk3C9ATr6EqyHQtfXIfbnMns1y8x+YL0wCkpyjXb2vFpYlaWx4OmvS+dBNewS
kWG0OqmQhdUYFFBOSntRWt6XBAgOlYVDsALZIO2D7qvqiwthVfHvVMErCOfqXa0ePr8QkEm9c9YB
DvjYcFNtX3V2vD1BMKhZPtchArrEpVoe7VtbiOReykT9WKeS1DO3NN+GLKlUaCxm1u0lQFY9zJaJ
oD3ZswqS4u1NX3XDZ3tycxu+q68LXz7mAH1Ocw+e4Sb1KvM7ObeJF882ROPNeECUfC9dKCEBYZPE
bqedL6+ryYH5bPSzDZE6E9NrRoOdOnGcS5RiZpPf0XDe8oOR9xJWxkDyWWLZGKIC4zTt3Tn1r6Hn
rMRxAcelQUln8sKsJq+O3D7BNtX0cr5nhu8VgMQs42tSbOlGdie5CenA0Zl3g5eDvgObfdRJk7ZL
lnBSCzvy/e6sohh4DD71GrV3UeSxT/oqp5AuwEyOvz4o9qLJdX1fZbKCXgIXlACJvkkPiT0OXQSv
UEvi1DPogJACwLtoDLJQYe+240ZVoSEARJCik/CZ0pbxCDKhJZM8d15du9GLQ2HOFAA9bf+lidop
69IT1hga5BQ+9CkWNc/5bm3n6Scd85bCQg3Gi1N4/CsMAJ2fnUBOsytA5JArPE7VW4d5KQmnruH9
ggImb1vPojQHPGFeEQlPu4DjtBqoAyaQsd6sAjfkTvrXSUBU9i6tbOIgUjS+39N1bPPY0Rvjweut
8sEXehdLYs7epQiUgTso8J77nmwyHKEOfR6tleJ9JO3yjTSZnq765LsvAc6HcTdMoE/3krqAI2kt
YSE5bpO/90Kncw6QldMaTh1IcQGfAXWlSoono+/kWTGFccLf9oB/I2b5MIZiMd70D4y9IUQ7rOsf
llKr6srcn+ycAUHaAY0qfxQE3cQoX6dPZlAfBSb/cqlt0veb5ChImGgqJ8mjfK19saPhSVRqZXGQ
TzQYDRVl+PctoG4vmYydAKTl0Zx6QKQzvLjPBYyLT0ZwHwZ9//iDXIcfHrDJsd398Q/K1IqFZ3Lg
z6+IDAm+x88DROWT+emHAeY2YmfvQ+GHlQKp2sfpcGV4gCDAL4Y0VwjlXbOedaElwtvIhH1DKn1/
qsX6mZny1z/728BvuyzbN9ZdjKWW7XyUXknf6gK2OhruMSOPMAjz3YsKvz1dZ+GtiN+gU4fw+j95
xv/mt/7hotYf76hPo99vKi7qO1/G5JiPfGwm5SxpCZr5H4rL/uUXbo/3t/cJfG8qs4WLGY2OXS+h
Zm2H8TwRTfvJR/IxXOtfLrV9Rb9dqhaN8MrtZvY7IxyjPkwimjGRH7vx2+FVxE+0bT95bX45H/7s
AX74Mkvb5SgJQJcHmEX0fCPY5mET0Wr47ErbU/mzK334MH3DqlaI+tuvA9UcEdsQPufhekPv9Anc
9D+K8f9WPvdL5fJnl/sw+baspqL+53Jr9E4m1EGPgFbss2uAV2F1+PTZfSwWP34Im77ht2cHW6MB
48Xl5uidmxl+a8Lzz+jh+c/X0e2P/u9/FCKiP17FdgqyL7arqD0bfkTkYNREnz6pP/8tOM7+eBUr
J5Gq2L6vq373XkaPP5zD2/OD9cnr/tlv2f6K3+7YUsEt7ACBh/YdM6c+bJ4RP5+TT1bfT15wbBZ/
vEwwlBWMdi6jHelrRyJKw2/elXf+zG1lbvf+z57Nh4ViQdyaAHClCXrwQsFSCAXsGjlqbMRt5OzA
8ocXQ3gmlSJcX/78tTA+7q9/fPs4Tv3xR9JdL4Flc+06tPb50Ygf60iFP5KQiUvY7s3wM4XQJ2uV
+/FwlMoldzfwdmixctCg5+uajmy6URISHLdrdqDcIj/6bDP9KG77sEb+qx7QNkaQjVy3i78+NzGd
zPD7+fbtk/u5rXp/9iw/LB5zWhNE3m+/7sE8i+f2uj9b78ntVIfMy7q39bE55zfWrfP4yXW3VeLP
rvthFSl8DQyH4LrbalzdtFdJ7O2BfUZPeZzHP2HQ8Bbp4c/Plq9PrvvRH1fBfpr0kuvKPcEP0bxr
D9aVGX/61vy762DTQZqnY5XF1fLH91SUft3o22ZKnOkOWGpkxQFXtKPgoo4I5roTt000HYaDfRmc
Prm3/25V++3azoe1M4cuUzHp4zfG8859rvbZft6T9LAXJ/OY/F+UKCTRW2AfNsvcr97Cb4tbYS5a
sQ7U2MNkRDo+7pqpj73+INY8LtTdr5/2/xtP/+wsnb7//a+47rfi8n/8n47OvzServLmTfzl8GN4
y8XvXad//of/7DpZEEsc6CIeiALDNbFM/lfXyTH+BqU9CDzkaziQAEH81nay/2ZuPlqM15gZHFxR
v7WdzL/BEfHYjGk5uZxz/iMICkbkjxsJSilEdKYHjcWis2J8KMmmpQmQOoH0WfPAvPU3TwMtJTKr
0bhdmwySXcO5WZEr7wzmWqr29cgS0ozMsTo2TNDeejUHp8IHpN/RusVnO5G0pdHegW6Bum3oS9IQ
i2RXl/YjazjY3Lptrin080vETBZxOVV5hDRLCLLWFjs99dbIXkx0mLBSQUXe9iJZdy1Rn1MxosuX
6z0heAfh0+CZ8KnF3TK8lANyhXVKzdBqBjPqBxq8ee+Ip24NhksJXnGndXN+sgsyZ5pleCLeSFxo
IDy/EVgi9ii2PKZli3kotXWkU9Fkb6PX2A9+GSgI1w4++8757mTNdefb6YGUU5dJvYt90pCtCeqp
W4/oGFDUzfNrp1XdadEgNxd56kULjEdQRCbRCuu6Xi+041LNq3fuohmHyoCabpPH83ViQ9/C88aN
UIguytK6576bH9CDzBytg+JG2MKMSMxkqoGUKBKeNu5KReKNO9p3kBMdJo4EQ/UZPXVHW6z7QrTG
TrjNfsUywNxSzLvU4/zfD40Va02/K+zaw+w3XE++KnZSgLIQSj3prqeFv8Tj4zIMHPBEc8rRtoU6
zXka5YVz384STnwPujEI6HAYugHKtpzvlaQdY9OQ2/lZ1ZydpD1N9mLPodspEtX19FzW3jY3G/IY
gRVgRsMgKgyni4qNHsQ19lcRm2Pyji5C33Vy7O99TXtGBbqbXXdBf7Tc1916m6ISATOMJdH2SZSi
//FiSqbFXUXKH6KwV39pXrTKPTTW8mInBe+1FFseUUbg4cSYZumnU+8wHMpIfTouQZWcehd25Ur4
y6ksGDUwQhqGx9Sz1d4fjQNDvxeLazxmmj0cSVIXb0oMTKCXIByEMz96WTdcGrP8WpfrU7E4z10g
fpYKmBdiqUPXBtcu0rHyzlm08Wdqe2IgKs6TQWggPwHP1TrdchLrtNS7MW+ZHRfI9r+io/HNGz1I
2mu7IRBl5xVDXt5MKqlvRh+Hy5aoUPrPUutco4jctVvdKM0GzMyk02s3nSPoBkKqHJpw84yoiCaQ
59NbI49vlyXYttCSj6n7RCBXiZB/MHuPZwEMBHUI69eeCHcYZFOO1DNcU2AsV8xv65um7dKOaKgi
z50d5pnON2n7+GW/B71MC7OeG/SBmy2MGLvWThjUaIyvd2VTd8+Onbp3CzlzMs4QZ5aR7mmaFrl1
UdlbXPz8WpPlkJ4hnOfXKVgIDzJiqs5wdBvik8ldp52t8nrcU6D1fG49SXlPHfKg/jROswSfbK2m
fypn2wGqbS7Jo6GpIIndlWy6nR1U+r2LtIX4KYto6Mjr+o4aBLC2tS8ZTQbHvESw3vJBm4w/wQEr
MN8Byok6nn/1/fBk0QNEelgqIFIYEI5ag6Qs9moLcLRJfd7vUUQiCzEam9gI5GA0F22avtne1zWa
kXJLUo7QHtDwd+SSvOjTKrR4+dXMVF3jPIkMmGwIdqZlSmWCIIzTSvb9hferO2qgzMFO3Q3Zqc0y
CIOrm4sXysnU+Fn8aryOg5/doVfyYZ4Y9TKQEqiA9lVeie8z+dXDrRlHE+WRSiUZ5TLcvB4Ycdah
ro3pehv86g1rC3HysVY76CiyhQfcms5Unog4DjQ0UDmRTtWgDUto2sv8ZsLQ/dEKO7kvg4wb0gY5
bbE8C1bF3d/a2kywLefbRCrfbZAl89tia+ubPc/ou9xNGsmcUdlE2bO3ooFDhmYelNNO1sXs1b3J
LMTunGPqs2ncJebolbtuDrZYvMWh7+xbhPgR1+csD6O7yJuBvX4/Qfk64guE605gTilJL5GIXO4Q
Y17nhb4wOICLm83kXY0ibW9SQknCLtDnG6+DP618YOAh8/SOWIL5jSGoIlwvv14GVzus5DyS6CH0
S02hR2jq5aQzRw6RJEjSXUAZLEsa671DrIvoxBVW6E31OTqh6wHDDkZypQbPhFEaJIcODkpklUZO
3jABOlNbP1TpdEe0TkIEJaovhfKGOYAbDFfFCo/wCbRNqV0mwj7WULDDuZM9gxN6aF+JkaiWA7Dj
26Z1O7LLgj7MA4UMJiWdr3fVRalVh0EsoZyyXZo0V9nSkXlV9cdxSt7Q+1qIatufQ7e0dJ9BEKPE
u80DgYSy8Ah9EoQHEm1sxaNMWBNa6K+8oTT+Q8agIgQrRDg3qxV6wta8bvt2jtYs2TMZhr3bWd+7
2fnSp2SNtWLO2B3dq6TxFiIMO/cKNtAUg4HWwqIlTph8N82oj64yiOvYEkhc5USmk5cEllfzMctb
iTBKam3sjmzNRee9yLF5HAxdnlZeCCbdyAbQkwYhmXHviOhLGTvLdD9zgshj5FUAqqWWQAdyu0aS
99kNSWxPIysGNEkADSsCYObXD87gQzghiFDzvmvCIE00K2xawIAnK+elr/UArVdN5NPBtdPVvQb8
Ky9Mjdps7wVKJzYumfEcDsiqyJIm3x764kpq1l0Anhi1cjIIndydZma3nPRDHrRq125DmwsbdmmJ
Aw44LClh8qHwEokAPhccFWvbaH8wUJk6dAqN49zKrF/zeMxXwukE+t/mAuv+emwXRSAN4hvgREeE
XOTI2Gi3COssTUSmeR703+u6Rkbn+7PWH2epS+7pxFHxNIo+I5py5B864RS2QFoXTWlPr41Gdtoh
yErmH3tmLuTS1ATbJ6cs0xwvhthsF2e8gqvx1PgVm2/DbCg/2swHMuQbtpVdjLIn1aVABpRSgjCL
fVEAzNvQQqqBettMhSuuKg1fHkydvKlu3VVHMaiLcTHsUEAgT3b+PI/3o9+XGuNNp7kL9EGp3WwL
o79bqXlepZ0xAG1dD8J14duQbhvGyir2zSb1HrTUcSThAQYZw0XvUcwN2cjcC0h5S3VIRdUd+SvQ
E7bZ7GcnV8/RrM2UBi39/TlPyQgXRn0uSr2iamCUtEVfyuyprtdSxR1ImmqnSafR7k01vDp16R3x
0RzziRBrlsh+b1TqoIx1OGrjVtMKNiGUZQjHs+UiQMj7mDMwR/xrfAsy7Z3gBrTGtZVj7h8SksZL
dykeRmTaR+H7ya7w26dZuueW8HLqNmYv0kMcZWcAcFR3IE7riIwa+7cMCJ6seYON/sqAhRu1uEY4
AdQcjmmkEvOIR4TvZA/vOTjZOhnJjF/PY98+0ocibnTm/WlUcBwTLTba8UYMznzHDX7JCoAKZM7d
6H55lj16Gg9BBFtef16XhlSEkViNdLlJLaN7ZRlbrh3pPyZ59jCSkTVaNkE0ldwNovliFAYCOtEm
hKQF5ArL56rvbkUwHjOzea/8to6dJn8wM+suExoSsaRfvubkjfl8oeSG5OdVl/3R4O1zyiy2lg6n
YtExjCLIINRK9U4ewRXwiQcip43QglYw9/28qfV6YLtoWQl7piJygxe7R8xvt+1PNaUyThyDswpT
rcWbr0mMvcCXdJDEFLpCu6vq4ll54tpa21vEvfnZTapv3SiLfS1SLcyRZB2sTCbhjBQ4Vx6yT5+Q
g2StUAFWXfc+jcPDqHv3BpMdxpHTFaaXI2epvUjHC2yxPfsdFOVs8C5VIyhGR1TJqyR81bjzOotj
BFL4InDuHH9LApLPU7sxU03ie5HxDpGFgixcffmFrZoSeS4uR82gU576B0rdL20q9/0KBrEl6QBF
O2PQed5ZU3c2GzkfCk1Uh4JEksR0hgM5B2/A40IrcwCUgYNN12dSkrtdZ5GN0aXO9yWgKO8ABgNu
iKxavU/onGVEN5sAuupLwWFok+dP/oUt3RcdUf4P3dWmSyIsnwJVyIdZuNGkEx2VLyeWAY6ty7JL
++RMaiQ6G/2iUYrc+Ca5nV3v4DTuJXkme+rLHe6O6Xkdx0vVLaQSdPN173kP0IiLmOOvzlKPJbwY
Fv+Uj4WIPNP3vs6VH69O0d3bPWplx56f8wY5t5hIXxVWzrEsrYbIqZNbqLybllFpcQD//QKeeL1b
kX6DniN2fA8zd71lfHVbJkjbU6HPFzg9vikNrVM+uvMlmw3e5mU1dmpZ1MMAVerEv0ECe2AxQl3B
rO7qvCB3S/MJlpva8yITVOJEN+/V6AzygAelMw/zZKAxZLcd6xcydhEqCZIag509E9Jnj2BIMvSg
VFE3nOIWAsBAnI8nbUTlxCk0Iy0wKYttDIzbidDBSRRbUp5ts+aZhZ6eGt+f3F0696gtW19sDF5U
EwRjiAFTGVo2R4JldjYtpj86LusECS/+uOVjzIEgHK2b+H/N2tQK4t/9aaFcSpfHaUuKQf4wz5cT
HHI9ZgKYXxSINQOOQqT3lhGbha+i0RtcCrZhDc5l0aivvcpSUuxowJA/0a/FbpkcMmzSoeVXabPb
EJAGvFknJpFudUMaxiWKcJEdTc4xV5mTceBB80JJruU1JS1uzfZ7khC8OXKwAk7fuOWp62R6VxqS
gAWtE9ZPK7X6RwJic3+PhGWkqF0Cso46Dp7dor85lfqS2lZxK3qCRcO2DbJzSw7NtF+U6aIy78VZ
+skt/lCSg4lnMPxrQepFHQ/S1K9qMgovmno2nH1va0m96cmHvTs21wP5dIsXcPApFsLApgm6eMKZ
vqAf0w45CnDWBeB5mx1oxIJnnJtF3ZLozE3oVYT689LEZYXpy2bbAEEeWM8Wp8CLzIPw3ObRgqoe
/yHur1Wr32Tqk1peLpg/fIxMvaivyd2mtnT6OVwM81lWYt3Vyv3OPgRPBlZ1bz2g2c2SEzaqlErH
SoBIk8PykKy6meyUyDElVWK8p7OVXBa4B1kttJIQoBYn827Wpuq+rRNCmIqiQzhkcJxbY9/F63Xp
uVZwUEQqJVFb2DO/p52H8sJyiabK1n1bIFg1+YoxEvctGQxCl9cmzaDEbGOpiZ6SbW6vZDDtc717
L8xVXM4tGaezqV6LXE8PA6KvuMGTz8po7tmMvtW0Byg9/jd7Z7ZbKZLu+1epF6AUEECAtLUv1uQh
baenHOwb5CmDeYYAXuc8ynmx82NV9e5MZ3flqb7eaqmk6rLNGoIgvv8YNvlWo8JCRevcMj4y+Mfg
HUgrQ3mJRuorYNKbpZdpy9NaPLledU6IUHUz0agEhm/MCY/npbxLs4YjX2Aa6V9X6EuqjS7Wo9eI
PuYDIzlZt1lb8yOiUniDMh+zCtMPn84g2DPdxOcopkldKPaixTzINh5E+DbynLwTklxoyj02ZXIO
5fanJoYDXWqTcM6zG7V22wzlwSwuOtXEIyoHMU2CHCiS6HALOZbbtu/aV3KgfJ7ppgvQb2aF4YbW
bmzaSwJ5i+62HfIQ8TvdAN3BTQn3I6s/MilCaemFL00Zqq8zfT6QQO5o7cntMfgc5oJzq6Y8m2Om
hN8+TEHWij16Lp4UnbTMcx1nnnVe9nOJ+tJHTzwV9HloilY29iioInGzHkGmn127nVTfkGMS4UjR
2GkBpMhZvQfWwyr3UknwuA1elHEtGa4/qYDeLRXP1/XcjeTTi+5MDcNbUeFlNCygA6WHyj6vS6fB
oVrT/+z04Xk8BSNl7I5u5U06kzzB3R/wUAAczPotw2mYnpvQms3Ozgk+/ND5QV2f9BxYX8m6Scym
EMH8raFOjuZzh66rTZ9lhm6HlJ32yiCZPU+nLKrPetoZEhI0CiXPMikoQlgGu5s+dG7GyEKTLVph
y+ehsZkqkaQgMTVgW1LIQJ/XOWzP3moyNl7dEapvA/JRFy1Q4gri1782oQw/0Zsptl005Ns+xfea
gFZd5VJMnxMOF9Ui2zO8aiBLYDxvLjFmmNK1R5WuWmtX+bIpHDe++2lESuegofKIqkQpeb4sQ3gn
UaafcieEIWgU197ZE9AL5oRYTRd9ZcVTuUFTrItLldWTfdelKusO7DFl8zEziUhOpZdQHDRODC9n
mRN16dPSCnqJO9NFGwbXZrnOO6OnpymtdMSUrGfv3huFl+/bVgzLoU28aTmF2rXyi5YinBzkTrmf
DE0T5S2H4Lq8kQGKs0/pjC31rI8wm8L+WmGp927CGL/tEWRX+36hpmDnBCXK3w1OlWK5CPyIz8CU
A+eFqMupayYuCQNr0VpZes9bwbmBlnuwDzZJfTynQlfHN3lXtS4P3Sl7iORUWnvdCsv+hqG0eE74
br4xbtvF1wZ3XrTp4mqHW6tnZcaUxT4POm2aE8sf6IHTuA/13qyhaaj+pBYfo7zsn12r783eYsUA
RnZ98YHoKy840OPhG746w/Os1xUNNxO9AQxxgq7sDR1+8o5m8NHGjgj2sh1G2V5oKxzVgduksXaD
yTv6Hya6bPbKo3Rjr2iy3NqTWPw9EebxDdMPPYymiQWdZFR5TTuqlHAYcjzWr10kcXQoq5DhORub
Rf5kUizsEH3EptaFJcp3K80xlbvuwFZWR4ToXaFGjM8G2+FMkuZqnd+HhMXc04PuI5EXYtwBFda8
APRGGT7wxFxNfp7TWG63CfdQOqiv3JkWcsRi9L86Q6wexsm4t+wRnAJVbbHXN4rjf4+QvOcgFRqO
m3AbyTO9WPFe9e1wtVTNcqnHWd7mXjIfatoQD6YA3QlGedb0vfMZJ/ZpwZn51PWcaR+Be34Keamn
nDg4Ji1JHV2lssEQ2gUDcCYFgRS8l5eVPWanAXq52K6HgxD4xysviLYzW+5Vm+PIjqoGJZODmLNj
0L1qo4QKYDw/29qTZ1awvBW+OWuK2cFqizh9KsR2dsKavHr7Pmi7aGuGLn/w7bK869nDT/EjU4Nc
97dd0J6WTXDrItN8cSt1j83lnNhEjLicSXYD4RR3GIovdFhfItEl4qOaT1SY0tqUqL1GRX9A/6E/
90HwSrdveEjlaJ/TZ2I19KilM8UYfBYba6ILfdPC4QDseP4fmWv/SzV+RzU6awvBX1GNd//3/1S/
XT8N+Q/y9j9/7R9dC+7vNjm/BAo5eN/F9/J2T/5uC7YhTg8I50Cb4SDLqj1q2O3wdxLMiJERIZoK
ZNuQf/+jb/fQt8u1RQAtofRsz/87+nZSj38UGxBBHHoBVQFYwtbih/fJ1aMrM39IwnjHuRkOrvXd
YtqbyfHfsnkIPvV4vh6pbusISkbMfm13CxghsABFUCpIzQsGnMEFBNHABxH+6ctSdfFjVqcdmhCq
Vy4DTVznSRbFbttsKY+fHhV79LAzOA4/u/FixptU2nl4PtCbkF9rN6H2ranDFHaggDZYW+3kI4l8
2UfhOm59sNEow8A5eZwpsFljD88mz2kGNf3wwSqGOqXmLB4k7FuCpwx0vifCeeB0tgmoKngkfwuq
qSde9UGkIqE2tl2TbZidpuvRgctCwdynr77uE30x1iHxvcKh8XRv+rnBOCZs85hSOITBdtate1GE
Tcj5QE8jLsNAzcjHJ0MTKgg6RpSeQh8IEUO09WKoyYMBQre4S/tCvmn6yi6oA50mkk1SBvSoXaxp
O1YgIvtyqdbmNY4m5F7Q31pvahzi9dbCukzjy+JQNZRpcWmKvKAcsZlsi5wLh7weOn1nMj7spXkp
s3C467s0+dYPgyEdwE+/ZK4UlODUfm9t6bd2ryap2kvQiu6G9sspJv7AceiGbqg4WqjHRAsY9Bmu
vmgyKG6UbT9ETupf6VLSg6dsJ3zzXQ//ErYcH08Yk2C6m+s0IiEgLMJ7Q3pKSNV1E17PK6y6KTqC
KzaJE1pkZRSiRC86MXFT+D7bL6JO1W1EO+awx6Knr4CY+Bhr/PMtESEL8S+UFdn5Jeua8O4iG1vq
dMPA9FstZ1ojg6QuHrMYiy4QOd0NbSA88mR0WL7YnOyjkzCLqxfuq+J5DPuCmjLL4TnfuHP+mSbT
SmxChvQ7x7bbajvCTD5l/ZJf1nPAiufhE32Oijpt90E5ab4ePBjXS5OVPt4m1e2J8Y1zTtEGKB6/
SAJNlaS8QVFMrtgQshR+U0Q1PyWhLxGjYWP4Ss/piCeRvlSiMHoPN680CD/xvwIvdP4SUPxo18Wp
Zy3BtJFhyPlEM+v0mzTqwMNdLdr7zhnEh6BB7b3VKgEkrNUknE3Ue2viSlrD3Q0AWAw2C4Y2KrW1
i9XQmoKbOdSoZrUVWRfGt5ld2pWl5jiaUufRWlax19rrgg1S9JQoCIapW8MrubdkPHybJhfN9DRk
3kXmSJPsStJKMha9UbAyTeW/jPZE0gdcgnoMaI9D9wbti9Cf4Ls7KO/0M7FAGT5fDjj2JmyxPu/S
YSm/lIL2vwNhOsBAgqUb76KGAySbAdWc+4gW4gvdh6UB7lvMp9FygREIeUjqXSMWezxJfJJkiB0L
wUCiIlWamQUWgqXs4rS28BGGW/jY5ZyPVgDcUHAnsAh8HBhobiM4Ze/KrQaPhjmOULe9r/BWLMzG
ii4GDxMp8Vzpge4883nMAELYWWLsB1gzXBfridc9AlMH6lzNg3ejuZVefQ5yehenCa4P5YUlv601
3loQbvtbXY0VJgXKtGjQsvxu6y6zt5LvfXM9Jj6pgf3xNBaw/51Z2AIZRTnJdgc95tM9B3FSezhU
q68iMUIB5oQzuRFShw8l2QPupq/WkznoFkNK1pmRwVXSsgUNSBOxjmbmPzcOOP+JNOdHdNbkt+DB
kAAsZCrprfWg2QRyPjdRA4KWFN1U7mtSG5wd7uriguSApTuLcuWCJ6X9ygHXmi4utAzzdi5s+z4G
/+LEmZdZvK/WYy9WFA3t387qlYYpjoAOba23eCKLt8nHB8IH3Vonq4MGxcJES5mxQKiquHLoj+yC
PCQCsOgYFqh/3pSahJYNMMVg9nPpu88mHsmwB87KWsrapgpNyvHEzsReMWGsDcvSUgn8fZKzrst4
SNoPrSSUCQi0rSDqx0JDok1LWO5E6PD6fFzo1daGKac2OuEsiVNTv0kFQ/9Bd2mV76I1dWnTdzp2
9hq4pL/wAtHE+8xV9gPVusu0px9LgQrXLYYj7CxQ1FhMrcdlSuA1jQiBTwhbSFdj5WzukgJWml6C
Utw3jGXBjkMGDHhO3261NSMxRXuVUKK+N3ZM6/m8DCR4l0dbLw4MCtaAE0AgjlMVxBrWbFcC6IkA
z+ep57axT+5R4+ozwQkSuA7E4D7QJYvHBTgEgSsn392McoTJoEyQz1/hTMLEMBTT85ItTrtF7sEy
EcXgfnJn/v8TXQ3Ts+4okz/tjkOgGNZiaTdIWWWYVaP6Hho/7vf0nmLkxtaeA5Vrcjj8qQkfDanT
1WFww8xA/6hInFSyAIcfUzpAERHhnvN4GGb7UkR1d5hEGHC+J61KgH+tQyvPhZn8L6xhbFeC9tfd
SmIgPel4iYFX6lc9hKY6GHdmgqssHLgbYq7pBs+cmWdWN3SAolXVcjtkpuWlV86KjEdBuGAtQq1F
LXQIlIKP1SOmJ1PQSrtxsLo7awTXXaA3GxjP0YB9OZJEmS4bp+TERej0RkdyeUX5Q7PsZVdOt/Qe
kBLV9GnkQNPBzZ4uaek2dBziwD41jUmDj3opgXYhqdY/1dcM19kc88nHTR5Yp5D1LUp9W4Prg786
8ZltgAzPIpLR/F3T0Ci+GXKCHjcUGuLGpZm97M4YBfkgJdJ4CCRtCizXtv0tqhHfIPWoJ+uQLmOp
T0GibG/n4Voe992sBTW0pV996eKJXGeD4uNCdFIgeZILBwBl9Fwh40qyYZvZy/iFPLIoOtN9xlqa
Ec4RKjVKGRzYAJSEZkxo/ssFo7VOsR6e4RabNQea0o2vhDTt9IFe59Gl72ldxt0SBctNh9QjP6N2
22m/ehXE1Qgbek8SD6gY8MQQnWRx2pPkdnwRFbfSWZULBlwVcpZmdSTIScYOc+OO5DK4McJqHPcD
rXpwoGT1ZOesQN861MMwhxuHmjD6fSbXf1S2l75mA+McvZZF1pww5FIDDfDuywMONImwaRqRfeRp
cYXIq1yfXqI4IXSVt1BalKkj+AM3b6Oed8MkAMYZDX39JUJHgbdTsRY5ewWtta+4Ai5R4TDZdxHA
i+VYzoNezPScFmJd0u68tiSm2Kp3C7k5APrN2vdIhQCwy5oMAEwpbBZyOa3pDPSa8fPW5LGSFLwj
D7PB0O2HfqJFN+aTdbSUxEDwuZo3k+Vy2YMtlueVAc/Y+PaUfs0xi5MP5jUCabC9Rg2URSC/gNCm
/qb3c7YySoXRLCVJpb0NIJx7FqzMyVYXC+x9T1hcuo2Q9rCjdG1/qxiZ2ESHKOSEKiv8WIGe4WF7
95YWcCoVs3LghOjoefpWqYzG4Mhzi4aQ4MbqVtdf/iYdi85MBg5i91Nax17qduyLXZn2TbLGyBAm
ko8Y+RpNxO8mXrrum1T4SAGa8vxLCC2b7MYwaC8bd0q9/bD4y7VOjf95WXrstoBBeB09EkU+Aa84
qC9w1Dpr5EJ/mI1ntXvLaodk12bSe4iCeYm2qsGpSrAHDynSk9qBruyeVJZKUR7Bbl+D5cSdvrcS
5fc3EC0FtblEzlTbHmeXPPQ9ksbNOII5yQDoTBG/9sh6jh+WbrS8bWqFNGDo0CQeBnwmND5Ky1Ub
RbX9tCMqIsbUaGip2BZo19iMSHsgIzBYDxqQ6AiioBufiimrELFHUfQ6Luy0W6Oq8mYOKglT4MXL
1slRA5xwdmrAlHydpYee9HH31ACmA0vE4NVjJvpXJfMK8aDOXNJXOkdYHCDwZm+JULE9dmU9PFqJ
494ypc3ODn3hEnPWqrLghHYP1gRNwl65l9NABNQ0yGk+QFc17p5C2RQtVQDYiC7LvKSTbV92uRVb
EPqLZCJpTauR1PC8xJZrWn+f4ZZ9bIt1M3SNO9y2JqZ69LsB//oPCf5fpHHTXSolIzfdBAH5/QS0
/yhcj2E+KHRxLPiGyn+Is+Qr7oC/mUbNRVwZuLZAEix8NHjrwP6daBy8J0ewSuvsnMv8IRQVw+JU
1r8IFn/nu+EqDtsHGDcmeib/FX34/ipDTkxQUfFV6WTW4xbNSIW2YlpR7cliq2e6Lcq6PFChqq//
+lN8bxc8XhtBM9M6sb4UxL0346Q4sbO0kGgrpvJr0USSuB8OlBu+cKJhao3CD6qAKXErx2ScoRF0
ae+hmC0kEpFrqRMo+Fnf1QY7bOPNy0vdZ/6rJaOIeSjyODrbpEx+6fwhdX7hYHtnsjm++BBAjhxS
mpv89zG/8eLmDh5SCG4ENpvcLAHbzeo7HJb271/Ks13gH6AgvJz+Owl4Tc8i9aqhzZaBDCxqymU3
0U6xy+i8+4VTYf26v7OcrO8KZm/FqWjr8/5Qo3+36NLMb+AIDO+qExUZhWV9guRq9dwrfYtmgrgN
M6TbtJjkhZGe+cWSeOe0+ePylMx7vovAnNPwj6vRscKw78sYgTjc5gliVNzKfsvTQlh0GFP7+4dX
4t/6AhHxv3u7UpIawT9YgFz93T22in2J6UK558DMnmZ5Oe4Jz+p/8aH+/K5+vMo7/1AGzQMLRHYL
OduKg7JPVtF6brLj8GYc5a/s1c47bwvvg+2JAqEAfxv4wdEf9t2X6JWCJE/yJXb9LIk4yyfvhiJ3
zlKKdGGQmay2nenZJq4qOo0z2z4Z0iIsYLMAowD+iIJgJ+YIynE3T8iqgXHcDd3gVKczSPWaT1Ov
qQK0InCrtiDdKCK6e4EA/TGhbTXd/GKf+OlbAv4M19hiMndopwjf+dmsEe4xTtJ4txAkzomJNgR/
Y8Ygu5T0sz9SytR8wdecv0ovInJeuLZLEKoYiJdr0sJi7O0L5fCc40S2S9rWff7rF/gvXp8ijR7o
kah1MKZ396ec3ab1qlCzJ8X60qMoZwfOa/9iFb33sq8IrSJR2fEc4o0VMfs/3hx8STkisjHehdMc
FB/QmKdqJ70RXxGdQxmqedpCzIpwjs9LP3mfKgImckbtpryvvN48JYrUqF98OT+t7fVF0aBLL5dH
y8v7pO41SbKoIo1As30porXgpW6xWvRwd8l2Kf7uJ310ta+B4BQ5Ot57kJpDnUJxQZyfxwZxKtpo
Zmxp/rRr/S+t8R2tQeMGpjsOLv/eQ0V/9FP5Y4P0//zWP3iN4HeycGjbkR59IbZaG17/jO3x3N/Z
T7ETcO8qh5vD+Sev4dAibVPBScez4KmGKe47XsP/HeSYPB/6aDhe4Rv4O7yGJ7nMj1s8fctHHxdx
5wiB39fCOlUf20SLDjurIuGQdM9mnPepXRY3FuITUuAs3zpzUZDiy6FQi16OfgC6RPOfPbmTapyt
Zciip/9pJRGQEAJ0Kidpo/3oCtBdSuiwNpUEJZ/5EegrutWqsTf+3PUuurl0fgla1UdbURC/2RIV
ahMc2Q3N1ngDMvNZFuKjZ2n7gzbdkG0nnkZrDqEtyfc2NZm4WbOmcyWh6m5QkjotYG6HjwtxoACI
niwn2UC1u0wxRVbsRGJTnUmu7iJ6QUx3ZUenqd8iAXKm+qa1o+IJCZirt5z2DC8CVRKOEqoZlm2W
+NMN4eMELpORg2Q5CazBbEayG898IANkay0mRgSGSEd2RNxVpLe3o0fEphy7butbS/I0xzUtilkU
QePG8dTFJ+T+rKnSxRI+Bb3E4eMUMS6ePJ+YEQdvbB8j+BOGJcbeU62Iw96Q12uyHa+1+1qWa874
0IXqDEAqu4uk4VFT+UkL4Jg4ly5jxEVNtEWya9qESMlWd+q5ivvgK9qbaD4NtRo+egjG5n3rZ6G9
n1PVwxGZ8lKbRCH+tJdoNxRO/rEjr0ZsUWKbR+XWy2di55HeD2JIr1F/Vo8E2DW3nEMF7gCUd7SC
hDG505vUW1H4MKvMvUWS5itX9MSZJRPvU16mJjmM0UK6HaV39nxoCLJJ96SVJc+4Q5q3amoSm3z0
ZOid/ZKTFs7hLo1B08l4i7dOks0duWbVcI+BcQWq2jW6uTAOkLlTuN1ZkoaAopHSD2pmWmqmOULk
GaMWA6XumkNeqf7WL8vliWF3oj1qHqwNpQ7jVVLPxVXq5i1SnaCJnDVJNkrJp/TpPx1QDGjAACZ/
ItYC9RwzN+bbCogq2qH9zy0WXxBcCEHwJyqmZfkYZd5w1WC0/FowFz1CdcLS+GZoL+gXyz7AZK6p
wbnXw8ODgsy1gR5ritom3ZDw9RtKbJATkRzlcF8kvXeHLTNByJshCUshzfBouBWaBUic24Sp+zRA
pHBjt3V4EiNieYqYb4ctu1XZkd7cklSKa4HhT7fZeGsBd0HxrdMh+DeDIkmrE1DIcYAcjsNkVqZz
dHAru7001CK+BMfBc1xn0P44jub2BJi3aA+KrnVzl/DV4/haH0fZwSsE/UXpuDjwTIl3K9a5dwnQ
lG1FbaS9VYQNWyTUrmNy8MfIvE7PQEddeSBcermsB77EU3EctT0x1sCNBKCPJwS4MI7jTpQX0zqj
p1nMuN6tk/sQLwQ7Q+66T/I42tNayZgv1om/PA7/7REIaGsDikLdRjHt2mpdSu0RONCxSZkljoAC
scjapxLCjx+sKuweaWjNL8yKQgxHQGJgfpAH9whUgL6U3l6nK4BRJJ26KxCkkBgCIPchPYId6gh8
2EcQJFjxEOsIjXQrSpIm1ZjsoEMBT1Bv9IfxCKm0R3jFX5GWJAXWhzFdAZh4xWIKLxfXjUvE8X5Y
sRpk/8A2LYfUL+4RzMk5tH5rjxBPcYR7aumPO7I/AYFwnAIIjbUVvwRHmMg9QkYQudkbthuAJIcE
KFwlR4BJrliTmIjphqFaIaiFPe82OgJTXlJVr9OKViFIXoGrFcOKClI72c1WaIutDkhD0PnKVL2A
fvFeVyDsCIrVywQ/lB3BMqhb+WU6QmjpEU6bhhhoTa0oW30E3NyhLM8NTPjqMKkM6aUrNneE6bLM
JhZVrOhdcATyUF6tyt/SYlVXR7BPhBrgLzuCgN0REISmXskdsQKF3RE01EPEzyPMPoKJMYi9BGFk
RGnuEPLFhGJHNirF8QhHiiM0WXjkRZOCDWLZHcHL7ghkdtmCGK5a8U224xXqPMKeegYBJQe6uAqP
sKhm9nzAbOsRTXEETmEOk+YkPwKqY9+kr+Tf+4/yCLjSgwL4qilQtA7VEZRNSzwqoWcJ98NyhG1Z
H/ib7COcS1ggbwwTL6yCmFrwYWQ2q4knyUIQYx64n2D/wKCzskZVnQnPoE3rbaRRPcuWSOjKz3ZV
za0N/F+irSbUDTyZOC6EnUtpiC6FUG3OVgINNCvv6IeOqRSwVttdazYlG8F0p5F+30ZsTnBI4Afm
I+bDzN7Gqioeo9GeYcUR37kUyzY6PUBwdi5Gg94/JcJdVluYHVyDHoQXylO7i0gnKW2LSXgZ/PZk
rmR6O9Sys7F1zKiVZ/IH8cnkDnWEiwPbuE+NsnwCAKsRNK3D1LFzeqQNe4QMU7dvQ9OWZzghHSRP
vk3UmY3Z2ePrShEuzJQa2Psp9qBoPdnz89joipc6WWoLoYes4r3ElBFskLPPd0qN03BOwPEwnCSC
Z1RbyBYpVlZOOelrqbgnuNx+I+EqQChrkxBalRqiPgJUxshrEuaVuRf5Mxh/dB81JnqFSwtB9GZU
YtjMjULUi/ICNX4jH/Bawqth4HIfoAxGQlR6rBwNhwWSbJGbF6eTnkjbo9193M2pA9EK25bCii2N
ve2gNFnqjpPn22wqA3cXRbQB4A1V6rozVk9lRS0jbHhClmCoCXdx0sBTYqifxSchovkZFyXJ+Xmu
Sp9UUpua5aidqusyxeNMQ17GRGw7XZxh4yn8O55kHOb6zlHX1KN6y7YJIk5UMAW4G2olqvsJEbvP
eccHDnA6kqi3NRF32LykQGLiqAHWr9RNv/eLTvr7vF3UxzyOxq9uOeg7N6ri4qKxJvUaEQVPeLmD
RnpTuZ5lbTgO9v0+bgFV11h9vNqxGINP6YhOYIcBh6VDMn31MOIHI7aZcFWSWxee3id6EI29V/SS
JScqUbRGyGyKvwSrrAcBM+D4Bt6Tr47PQZttH8wUH7ZOU1G2EuKl5ZxIDsG2HiO5S32T3fld2g/4
0nLM3F5pt2aXCuin1URXcRgYp2XhUe2w3eeYO+2N5kHhU78TF4TQhSUCIlPmCY6KAhbhu5HmX0C5
P8N4Po/GY1pZyPnCW2f777CSdgGL0o2V7tIkbg5ORDtx55QKQYdt/oNLgcaAdPqO93PsnZfHI6f4
MN2ZRfYf67gipHYM7Ac3k+Phr9/VT4iETZUUgAE7+Rqy577DtcTSJHM9BHgvzVKdhF3+rZX+r9qk
1j/yI1aoELWh8vR5rJE19w6P6KSd0Z2SpLvaVfOngZMQdU1ufBFYZYfiv84vsWBS8vL339r3V333
1iJ/hoAgQnInbSTgI5U1J1U3Oqd/8ypATp4HNAgiLmiuegc5RSMZ96GLP1OYztvZQd6d2NWY/uJr
ep9ftEI6XGbNAgTcchjqflx9JOny4JUy2aV1fdqHqIpHvUD7UTCzbfxOXDXuUBziRtVIXaLp0KDl
voErdH+Bu/4E+757He/uArdGM+e49OWAjtEf4an2BIUBuzVeeWBmTh++JHioILfTIyJi//c/bF9R
HYlrFKd7ACrx/T1IEYWavYLj4BCGyb6XmLocWh9+8WH/dKfzHr+/yjtsua2SKknxc+8CrYdz3NUz
WSbDeKgS/Ox//Ybep3/9AdUFPlXZK2IHavnjO6oIBo+T2U12Bd0spM3i86KwwgfFP08q2TwOsbfY
Z1VVisfIGaed6YkwoN6qsE8yY7uXiOYg85wIo2wyptmpvTjW21DY8rGuMkYiiyM6vT5YH68RFWG+
+uvX//P2QTY5z37OqIFaUZgfX346jpE2KTuV45Bl4iFf21sIAM7+g6vQyOh7OIMUUQE/XqWrpInr
gK23dh1ur0AWiMG7X6HhP33t7Orr5kTGlOexYb1b2noGBJBNkO6scUYSGQv3kEBbn04RBYJ//YZ+
3hB5gHBfyEAowTC+QlHfP0sqGEOR4HhvSMJ4WbKhuPfILzg0KfqxDq3NuQ7x0/z1RX8m8BRwMGCZ
dNQKwb27KMqTJGvAGgi1HZLrIhuWzUxdzLZwa+eDHaO+3CQmQmSBifXpry/98zLh0hDFAh0ow/z7
ZQLoX1vWRCtZSu4Ltn4nu8h6RuD/4CrEe7trRtPKEP34qdIwwjkr8pKdcsbxILkBDmSfFL9Y8j9v
xTwyQ5Y8aQIEklHs9eNlKiUKXBhxuosqTrK7xlRacYZSPWJe+pdwTVaJvCBMxJLbDvcKd2KDmMad
6TnYaOxFzS9e0fr4fP945W0j5ATrD8DYf3xBo0b/0ywuL2hp3BOkeMtN6cHEpG3tI04dxvAXz7yf
ly9BbPArrvTg3sLw3aYV4yK1RmXSXaDg3XqUhnQOWlVwCgXAfJ7WwcWouq74xe7/8w265r8Jqbiq
D6n+7gbtLWhIuxnTnQZlOnhlupxFyUBAOXit4/9iMR2fqO8+VYftwIE8gHkmwevHTzUsxaxC3aS7
Sg3+FVMEwdN5Z901SON3mKgiuhgTe0RlVDnTpS2W8IqVX1k7yQx7ghslOoBVRSfHNf63GIeP9Rsm
kPbtrb98qv9r/dUXQqnaRMf9Mebsn//2cXxr+6F9+40f7H47DOXrU0/c0Pvf+eFPdP99/M+0ja9Z
aT/8y/4Y2H8zvLXz7Vs35H9c7s+f/P/9j39SC/dzTez/0yun913S9W3y0n8fv4azYD1K/XvO4Tap
fjuBdnh9++2V0oAh/xe//Q/uIfwd1a6LcUKsOx/r55/cg/odaDBEyMn/wH7Wo+k/PBWO+p3qU36P
DZoAZk41/+QepPxdebbNNk2+3CpL+HvcQ7gu3R8Wm8sfoQQYzIvnATavHxcb/5HAjZk0ox5Dqd/o
+qOkxZZuImuR5NFej/nSUSjqA+MiX2LOBv/dzPiGGOhFUAg/2/Z2Mrd3lJoExcYf5eRT9IHd+Gno
yPO5XqJOZN2OJjrPj/dLQdnqU4JPMXTPsMbX1mcyww06TW/0THIpEG16OYcJJmZ3Y+ctxRl4wlAO
vZZFakXB1nMaQszBgb0yeqQkbcG5OEx9C14egfm4wA7BjphyguPcVmf8s6RC6dIjH/PKNRXKB1Vq
PNBR7pjDlDbRuOtatipSbfr2IsA+1m+FxO2ZF9J8W4ouREPTB8mXrKpIvKKdrLA3FiLiAIFeKM5b
IXvQ5k5pIu4EBWD4+PwXQYlNcyhSaOHNnCfhXUJ8zucIkeFnYJTqbi50NfMmcnEWliW/RcpLepf6
dvNRqca75FNHO5+K0cbc1mYRD5W2fEwRJ36KUNoDbHtJ+ywJGpG0bLbxtx45FuFYRLb7m3Jcc7Xj
BJU4RVgRoEE2TdOHJcqTp0TCjGwsJaLXBonqzSIk5ji6JcmB6yeNeqKZkvo60K1DEN1kEIfl8D0X
RBuFzgYR5vyZowI6+TysJ721fKSFG6FoNvhgJTWa/IwG0SsqnsfP7ahwARB24Dj4hH37jpLBPjh4
k3C+1HYWQv5WMX7x3EfUY43+BQpYDxqGAsYPsz/37o72O2LIVdu3d/6Uw5WjP04/JnBDaDmPWFY0
7EEC2i8zXrqLKJNo5yk6/OJVbn+ZpFlGYt08cr6Ic4/no9UPKHjr3KMs0E7z/CLDvzvAU61phb1f
aEisWFovui0o7auiCgydPqnrMpl5soVA//vG0Ex1itREvGZBa38qxAAtlyYUxW46xdoDCwra1Xha
eJezzv1zj6A9/HpjYz7nedw9oLPwwA8mz/5K6VlBtj1/AaACSk8B5Xo12WOSUEM6Ddw736j5o3KL
+aILU4g1i3C/u6QPETkDNVAXu6odGjTNNqadgkBdnL1+RnRWPFGigGXGehxUP37R2UhVkIK+u19V
oHeVO9EdjXo0unTrrPI3wlgkyAhmSkA/2uRsNAxFd7BbRbKeJjxhoLagyG9pfB6fna6X8y7tbPWR
ztblIRKaiLGRdKd7ijzljWlHbPCZyZ0reggwDC5RCWGJsI7kCghC/UxUYPfiaselr1FM9D9aVuzu
+kbQqdDRBdEiZ8UwiZR0/lQEdXTf2SPV1iBF+F5Ti0Qnq22zL8wglKGVeCyeOjTsiMtBM1/GgB6f
DS2K/OEgarxzzoeMhYMt+ZxDLvhAApj+GgaRWfaI9OyrgWgwohZQJ2wTMheJeSAPEI9T0Mx6p3k3
55YLj7gBas1fdIeFBd/tEMTbdvKpM4mJhTNbEl3Ms29imqGjrqFFgYyNttzhPoUjEcrUF3yOwaOl
k/Arc1LPxmVl/bTvdT19Jq3OuffsLCIjbUrrqyKHVkQpWyYrjo3cbU/PZpVvc6C3cVPzI7fy/7F3
HtltJFsa3kptIHnSm8k758FQliIpUqY4yQORVHrvczdvATXrHWhj/UWAVBGQKYPqbgwaoyqSShPI
jIj739/YSHVWZdaEFwjdKcy9FCsxup515i9ABoh08BvF+TymdTE+E63xaJVq5dAvSeAl/LbK+lmI
pNzymV32dJENbRZGUpEGP4bgLxT5nUEMFvLj1nnTxpgX0RdOsVswyzj+WBORcO35iXdBkzMgicP3
Z2Xh9QNGX66NbGUx0uyETB3aGKEmXvmrirEOY1hYIJqTnvifbMIV4FF6Vcy7TkqEh0NYO700ZzuD
z6XiEcoUWKXR2uxD0t9S+i/GWstc5xziON5nJULgF7gPE6FIDpfqrtw51F83EEXfBUkNh9+t7egV
CekQ0d26LOAF6Xn9eYCW9DqqshZ2da06zgprHiROgAtjv7RaGLiLfp6Uj6QHgIGOU6qtCIzTrg16
7f6ySnCGgKIakPmHVFrvUabl3mWb+DNGFFES+mvf1zRQY1VX3g2RMb/zo77TlrrWoYzTXL3bmEgO
q+U8sLlazpbK91VFQgjXYEBwYeQ4ZcQl9HlSBmdYZYamGM9ztbnOkqLmjTIIV82VnplRyyIkMCZ2
XnCDYcSvtaGcN1XMxnyZ9zQMTlVyYYPnqdZ4lxiSwhvzvLHVXxlQjd9De++ald9OE9oUe6jnF3ps
4sbH2+2dtzk4MgpyRW1QtyECehHN5ApdIj+wkNtPqb1A9dlsrMqHtE0QeN+tyxyW0ZLl3CaHeaYk
Wo4Ioja9MSg4kXW1RlSKOtBoskaWsyXuN7DSrSQgD4xmh4KpaOnGN3ODTvCctUiLoTkrWr8kidXs
0DNMzEID4bXRy5RyMzsb+sjFEilJq5XRz/gMZMUYo5OZhSykm1WMaIPKyO7QMmrN6UQG3riaRi3U
TwNsW1q8BkD/Vlja4GfldI05XBONjW1plpaKtnAG3X8bVY7IRo6NREEu0eNYNyV1dp/mSPuWWEN5
dJImiI7VPGVnuLG0H/0WE9blVDT2WWW1JU58xJyKsLwyhnCOL9TbvgP8R1GHn53mayXefgEBePBA
ibokCdlK7wrUBe9qi8WutFzkIs084U+KG66z4RkoP7t+L7vOmvl27uBMcYGWg5yH/cQNboEoDPuq
F3FOfe2ea6VRaYTRuPNNoAwqGb5mjwKPzuDdYGkGglNF9NerNA5e+PiozXTf1Px84tHTlkR2YxA2
UdHxZYYZL50zxuplOGUmIgZT5QvsgXiv2ewJyQTtHxLp1MZ7oWhq867SkzbCKqzrrvTAGDE/N6bh
jdZJ27c67C9bWLPpEvCye92Ak6LHo5f3xokG8P5UbQp8parRj/ExUUD3o6rGtqnpnOByoA93x4Z6
uNLzpi+XRJjipYD3qntpZ0VAS96pgnPsRvpi0TP+HzLYIefDVIb10lMRciwUpWguqnTyb5OynOcl
O1c07OYoCOiAI/CZQ9bvRVCGk7P29ZRGK+K8Jl2z2zdv00BxCSXSy/A6NHNIiYHqVb+Co9qogMuc
VUKrauIo/cTFeMMemBtiy7T4llH0X1cj/nhCBOThwTMadbdC+tt89lD5YaSeGCUZLz16vIUVoEUj
fchM35qE8qLR1BL7E51O57KELHARTbl74asNCB4UN+1C5yGv12pLox7KTUk4ppjlp1M9NqxuHY9t
unFSZIdrrEEz5VTxp8JbId91X2WZST/pdJiC8YNnYAx7OhIFn6xCoI0KZLlSznC5MZs1zlMond02
YHZ2U7A9THTGUjtvLM+5S5CG4LMEh0CKfbvntW43LwY8USG/FIPxcU4SfEg9Z6CVUyvwBNg1xeaz
abag1GbYjjanFi9xjVdTMlxMk2kOp9AVCDZkFVbeK2SsYSaTlir2/XZMD6kdSgRr+YxmVWNfEN96
QdwrUDQwZ4IVQvb4s5KOfPjBgXTgEVeVBIPLt9Dm8dVgmIhm+yDQ6PTMCFTeCW6DuaqxutHYcgeY
HNHYRjybetb/GxN8W0uDVlG7/riWFpF7m1+WlPt4bQDtbYP5hH26vv2nj4W0e2JQCmOS6agg8BLu
fSTxGSfovR18621BxYPF96SQtk48EFUbABDkRjgH/F5I696JoUP+8zgRrS7+4C+R+PbLaE2cGUoS
YLEJo3APKDZxHWuarkPPY5raMq5M/9oeWuP5bBT97ZMRutjW5j9XdnAqDzxB53wuhN7dir3tnFx4
UGYrjRte9hq5vJgJ3f2dk9gaQ+fpgFACEXuCE6saDiZOAR0lxGl0HeYqutPBm/8AjbakfmIHfoBG
KdIUGTwVpqW1dx4Fr6tUL1X8uURRPpFV3qyI65veFDM0hjMzNKngS1nNG7Kyn2WVr7Sy4m89Sqam
Zht/x7ZC9YE9ETl5xhI6DbaxurB4hmbtx1l4oWMnhucjjiTPnADS1mk0+SN6FaIhMaAj5Hl8Ttau
Qvg1kerpAlpOMK1KLBDv9SAwfs2job9LAyOYV16Z6XDwbD82sB2CNIhFZ4axvT7OZYL2nc7yglaV
8rkmWP6swJqXtCBiDx0a0HF3b9oWKvqBSMF42RHwcDXaTovh4mDpOJsWPstjgoQ38wGqCHfza0jK
TkartyDSGVqd3pE9Azkn+GB2+tDh/TdgPqsnrLfYSOR0yNCC2OkSKzy0HoCZ7ecqwTx66QPX4P3L
xuC9pcfWgFWDrd+2qmmiLyb/dzH2erzh+JgY9lrHNE2vQ4hcEB9D9sCoQn+FKDZ/ozoxnXmndKwN
gjr2S7GuEXk7UXf1S+pRysk6afqBn+fzWR70rrO07SR/zQZuhMNqt5HJ+jyjQI3cusO9FCVP8npq
Kmxvbacm8W2BeMC71CrVnJdhbls3ITRSkmrGsb7MWz1Sn1eWwTirvdIYYEfzdIY1Tv0eeiuEPUzn
4uuRVuAnUusDPCnocWHB32D8AwkjLbVl11hkLmp2HoNfAXSZrxJtNBkCx4zvfS3w3/mCK4nJFbDB
SOMPDqVTlhOkG+qlaaF3Qf12FIxLnUzAC0vSMLGsSN+HiVvd6LDlVBiDdXqOVGQi/q/U7PcJ+P3Z
LLideYb6EMgt76a1L9ifvjV50/NScEINDBc+1ZIoWknSKGBG8dqKTe1Mk6TSrkyaa08wTXvBOYUR
DP00LK36oydJqaEkqGqCq6pI2iqWHPWNhdEyZNZ8gtjqSZIrWkdv00vqa6tjAP4slZTYCawwWGDh
EG2KwKgh09aCQNtIMq09Y+KzUlW2t0urFoTb2JoDshsEDXdCKJotNItwR0wGuvES3BhJlKanBTvU
WSdQYZbEXiUdsk0j2L594dh3Sdn6zymvKagAg5SPZCLfFOwJeckEa9h3OgjEXWJjjufnNm6zuiQZ
T93QXKaSemzO5hxT6896u54kPbmA3wdsKVjL9jiq56OkMsf6jA0F5TsUZ02wnRtXwQGpEBxoWxnh
y+a5WrJNV9xWXRaCMd2ElT+uO0mkVmKl9NcQfiBYJ5JsXWcKjEVRGOpLW/CxMXYB6cCwE5bcgJh9
XFj9pLyYNQv6DHy47JJMafGtS6r3JOkiEH2hjuiSRhJ2avoulOSSTBJN8HMRHENJQMGhPMc7ThJT
Wpq0w6qShBVHklfw+kuu8NUwVnBwILcEviC6NJL00kkCzOiEkGHKSBBjSkmSSYT/94qI1PADuJVG
brak1AQuO7r1LKk2haTdOCYFOtMYbBw1FK9/Ikk6vIruuwBmnLqOJI1nmsDc10Uit2aS6qNI2k8t
GEAkOUAGsgQvKBMMobIrnHNH0oaIcyzadeblIXtBvRxXlSQZGZJwNEKDjpdoevWPRuZiL6b5s6qs
Qij6EzwpFx0HRVkPcqUYcHTd1n0b+gpXquDcSresCKDI212IR2+nvwcYcp5pEJByaC61sbEiocw1
9S57UQNv92vNGqGGw4tSrzW30F+6So/vh18m4V2TRMGvtMP5ujs28dHSxuuDmdTIEEQjno+DBd5s
OMg3sad/SFM9PMfXQKR9hppO7odAGJB7gcR4kVqO8F4AaFyJ1eQDWC3gZO0otM0FntOmRnhBIx+U
ByOh8q0YkR5sxfJfOwBsH8kHqrESkxhRKvEiX0BH/KfXIIQHUBoJLXg/RHk3rlOJOM1O733E1dO9
mQUghTsw2JTYu+Qr7C3BrKJ4Ar/ChmL41OJgB6olEa4kwCNoSawGyFfopOktwBt4GCkQ+stOz2ZW
P4mY2SAKeBdReiATFqCa1ZTaG/w+QNpSAbq5En5rcLTEZkGgco4A6MisnRCUS9yuFxAeCuKuWmcC
2MP4G4zPwezkA1HxsbLovSD7WEs8kAaCfw0bFJCwhOFYS+QwnEXYfC4RxUSiixpv1SXGMvmn3Cth
8kF+gOYtMUlT4pOJ0utvhrAzQC0FgDmTO3Kd+QOo5iQAzryvwJwk6hnpnXlqGnP0wqL58VZBKNCR
aSJg0l5T6lMyPCkgSawFSJ0lqBoYXW4vbIG1BmZMPZoJBBYYMLlWYgHL9gKhHcYo2EBm1hNWcXW+
F1GAZKJIYLdQ26RaDBLwBRhnesa8NLuqJSSMC9b0eqqy+bwSiDFrFeAxDfHyRZnl5IvbhjoMfK8C
ah4wqfzoRNCKFonAokeBSpsSoI5S13pJAol1BmcVMXMtwWxidBWw6S3ILfBuSPwqnvsCBM8kIJ5J
bFxtQMklYK7gXvnWxqD8tpGAOqRPwHXXqICzsGxJXxcSfvclFB9IWF6XEH00dqjzEUu0Z0oAhu8J
NH8UuH4XmPWH2Uh6zF9B/ekCB68HzFjPLdkUMFierkbZKhhl2yAQHQQygmkmjKKvMMgWA8zZcFmI
vkMaRsYHEsFpRoCV6leZbFFUsl0xRPXwPhY9jDq2aGfMsrXhqBZtDjBMWh64zvNYJLITIpsiJeTa
17VslSR9ZCRg/QZosmymjLoa9GvFtCt7XYp+iy86L1MBBLOYRD8mMWx82Ye+SxdeBHt7MfcKzRtb
NnIsK2kSliT6O/osWj2+MlefPNkAikQviGU7v+k0kmZOE9ErQvGtkYZpBtZZH9fVOd568ZVV6igi
O9FrmmXbqXLC4soTvagqcKz3bEXcK0ixdNpm2bZKvNa+HWUzKxZ9LcM2Gn8FdVp9yQLrurh+hTTB
kmxCqckPog/5MLgKLh/58Fmd9PECRzTaaKHsqKHoY7srG22DbLr9vFIRFcJOBQEnTaRcWejuoLXY
exyEERFeXuMiu7ISpbpMFcz2RW/oWThp9oefn0p42e2fC0dCiEBoVkncMvaapXmNp0sOJXoVF5Zx
DQRM2nKpKv5N5Spgwo0Dqxs1yTSDVZtYhpx6pTV9ziZcVNfEGpfvNadVW+j4yFtfGXUQY3KVhDQz
yHnWXo3jUFyXeueqK75X/b6r+9nGWKbE4zXSnDdj08efNUdtLj3TnG4sa5hi8CqrIFGzSLyNcCW4
0aLBrkCgsMtqMz28tqHTf8qHNAPs0DFjiwfqo4Ucl79EDTiLbuuiKT63+y3+HZLA/zwt4OGiBYPg
G14ABIOt7Fr89qKI8va6+Ht/9PMD/TmigcdrQxX/5BH8elmS6PCzo6SwKdruDh6DAh8AbjCvgKVu
P9BFUijqX3/vnlgugiLJ9QKJeTJAPxqCn9/dtwSMb4+zc+23BbtSQdwIYIA8xXiEEHIHG5IH+vbm
9w7w5OY19UToyCkGOdTTu8ayEqIQH0cwjPlsT/W/f/M/5Jl42p+9/b1DPL1968SBJEIND63j6e2b
zgn+mI6lYpcpPzwU/yff/d6130sej8D3mK1dpvI/8/XvHePp/dvwa1QwQdAj+dl7CkzvRIc5L1A5
SgE+TNhHNgyqur2mvYnp25fgx6MAyQjqKByeh0EQR3z6MBg8JVjBALDpRzoKYLNCln3Yw6CrJ2wC
TEhR22dB3ZsIpdqbJEDC4rZ/cHTvBORCFTT3sGHQLETtEFGlB8vTx8CyT/CT0w2pXD/Kl2FLaT3w
9gk3dXSo4QYCgqe3b7AOqkg/mRa3bwG/P665AAKeYPoddv/CtgD5Dnvx778FpnmCZY4Ndiz+iM/2
vTuihRHzkMPnROeELDQTrw9uVn72JgPDPMFqAQwZgwn52e7DjmoYZBfpsKcB7wuXmZ/G2fYu9+dE
hoHSiULGEnYWx/g0iL3N4S8F20SeeQcXj+1t7q2Qpvw9OxIhvTiuSYFiU/D8D3sMLPzbUYr9/hjs
75P0E5cqmqToh0nh+OZGMWEdPgzAXvjIfV0Bmft2lgjrBJGIZUL52r4uR7dDMHCx2V7UAftFiiaP
22Tq358U4Z1bmNqwYz6218A2t4/kAbftsTEQSiDz4ctV9759m5pJQ8Jl6w8byG15ckRLgpgLDt0f
qmTG41O2nQa/OxlaxMojcfRQlB7pW6DhMHjoXECkha6LekgI3sRnb0q0GShWRnzMHnYQ20XoiJ4G
nTX70KdB0U5MEtooO7ZoCXahu1Oi6Z4gX4FZg0R0+zm2mUGoCvGBPPR5cE8c6DTc4g9gNNs4gagC
4YaYE/k5vrWB2eHQJZJ9ADUIm4DHGmlvo8RbYVuOCeT08Noc3ygYJM0c+jCwQiLxdnZqxacbBd4K
Q+U8Alc93ofh4G0z2T6exp6YifDrbe4MA++EoOWxaG5/f3xFlEPv6tCnAStAel2ARsTDPM6Be8MA
2sLT8jiHHt8wfCcg6gdY+49hRt04sQwaX4iPv/80AMbqdK7dx83F0W0iv1pDHlZN6RaLJttIkMbv
Pw+gzi5QpBBvPj4vx1VUfk/j+pefB0NsJT18VfbWCPaPOM16lCoPk+Px7Zy+Q0v+y7ePSJcSCs6q
cAmVn292ThbUeKDtvz45/old5tde5jKM0jvZxYzumycK6T/8g8cu37cHeOjeiTYNPaqdvxPi6e2R
t60c8f//2pkzZIPxyS8fG47yNA///OH+vj3zzrkeb+rxh8+j+3pT34aT/MX0cJVvNhlt0H/f1vdP
W4uyXvz9Kr7Re3+dAX560HQTFJvm6XHZ9vC4H3zgbDMXiN4ejyQbYrKoOfTIi00YbZ4edoupH3rY
0/s7xj795XuC+W0j89AzrJvyy29wrVHUownYySl8gAAPPcOzIvryn90h3/YgDz3wmTAhDolY3Bn3
LZh/+LEZkWcwK5rie24D277ZP3iS3VuQ7ahDj45H865D80Ph+g8cd/Plt097T7vsHRx86Ps632Sf
utvdr3Sr6zj04MI/Au+Il5v8Pqp3T7Ddrf4TJ/jdoOINQZ07U6NY/KkT/9mz/MAGQ7b7xaT/9ybg
P5YHHXqCnwajHnrw+zqIyp2xf8BvDx376+KWSRI34MevUS7V28r30GP/O9uUu+/rA+x46IHPUHg1
vzxjHYl2rxvcgi3ioYe/iDbdl98ejyMHZNs6OfTAbwuuONuZZsSI/BOvUJHfffmvfHfB/opnHXrd
P/XGP/DRXt7vT+pf2Ww/v+zv7fy+ctK+3Q8+cs2+989297riL25TLutf/w0AAP//</cx:binary>
              </cx:geoCache>
            </cx:geography>
          </cx:layoutPr>
        </cx:series>
      </cx:plotAreaRegion>
    </cx:plotArea>
    <cx:legend pos="r" align="min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endParaRPr lang="pt-BR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printSettings>
    <cx:headerFooter alignWithMargins="1" differentOddEven="0" differentFirst="0"/>
    <cx:pageMargins l="0.511811024" r="0.511811024" t="0.78740157499999996" b="0.78740157499999996" header="0.31496062000000002" footer="0.31496062000000002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341E9F4-B093-4673-9230-7D155DF6CCE2}">
  <sheetPr/>
  <sheetViews>
    <sheetView zoomScale="90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577101</xdr:colOff>
      <xdr:row>0</xdr:row>
      <xdr:rowOff>0</xdr:rowOff>
    </xdr:from>
    <xdr:to>
      <xdr:col>26</xdr:col>
      <xdr:colOff>593911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DF68B1-6651-99F1-45B3-134EE16DA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565897</xdr:colOff>
      <xdr:row>28</xdr:row>
      <xdr:rowOff>101971</xdr:rowOff>
    </xdr:from>
    <xdr:to>
      <xdr:col>26</xdr:col>
      <xdr:colOff>593911</xdr:colOff>
      <xdr:row>57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C5784E-5252-1DF8-F231-00EB9C019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995833" cy="62230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1FBAA8-54FA-4559-D9F2-CBFB98F5DE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11</xdr:col>
      <xdr:colOff>0</xdr:colOff>
      <xdr:row>4</xdr:row>
      <xdr:rowOff>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16BFABB7-80A5-B3E5-7CF6-2977B07EA2BC}"/>
            </a:ext>
          </a:extLst>
        </xdr:cNvPr>
        <xdr:cNvCxnSpPr/>
      </xdr:nvCxnSpPr>
      <xdr:spPr>
        <a:xfrm>
          <a:off x="13811250" y="1000125"/>
          <a:ext cx="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14289</xdr:colOff>
      <xdr:row>0</xdr:row>
      <xdr:rowOff>0</xdr:rowOff>
    </xdr:from>
    <xdr:to>
      <xdr:col>30</xdr:col>
      <xdr:colOff>152400</xdr:colOff>
      <xdr:row>35</xdr:row>
      <xdr:rowOff>228600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E14FA47-D4A0-7F3E-D068-1AE96328E1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06339" y="0"/>
              <a:ext cx="12939711" cy="904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9</xdr:col>
      <xdr:colOff>19050</xdr:colOff>
      <xdr:row>2</xdr:row>
      <xdr:rowOff>76200</xdr:rowOff>
    </xdr:from>
    <xdr:to>
      <xdr:col>10</xdr:col>
      <xdr:colOff>352424</xdr:colOff>
      <xdr:row>4</xdr:row>
      <xdr:rowOff>38100</xdr:rowOff>
    </xdr:to>
    <xdr:sp macro="" textlink="">
      <xdr:nvSpPr>
        <xdr:cNvPr id="10" name="Fluxograma: Dados Armazenados 9">
          <a:extLst>
            <a:ext uri="{FF2B5EF4-FFF2-40B4-BE49-F238E27FC236}">
              <a16:creationId xmlns:a16="http://schemas.microsoft.com/office/drawing/2014/main" id="{F52454E5-BD6A-D05D-F6A8-B771E66B320A}"/>
            </a:ext>
          </a:extLst>
        </xdr:cNvPr>
        <xdr:cNvSpPr/>
      </xdr:nvSpPr>
      <xdr:spPr>
        <a:xfrm>
          <a:off x="12611100" y="600075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Distrito Federal</a:t>
          </a:r>
          <a:endParaRPr lang="pt-BR" b="1">
            <a:solidFill>
              <a:schemeClr val="bg1"/>
            </a:solidFill>
            <a:effectLst/>
          </a:endParaRPr>
        </a:p>
        <a:p>
          <a:pPr algn="l"/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257175</xdr:colOff>
      <xdr:row>2</xdr:row>
      <xdr:rowOff>76200</xdr:rowOff>
    </xdr:from>
    <xdr:to>
      <xdr:col>11</xdr:col>
      <xdr:colOff>314325</xdr:colOff>
      <xdr:row>4</xdr:row>
      <xdr:rowOff>38100</xdr:rowOff>
    </xdr:to>
    <xdr:sp macro="" textlink="$G$3">
      <xdr:nvSpPr>
        <xdr:cNvPr id="11" name="Elipse 10">
          <a:extLst>
            <a:ext uri="{FF2B5EF4-FFF2-40B4-BE49-F238E27FC236}">
              <a16:creationId xmlns:a16="http://schemas.microsoft.com/office/drawing/2014/main" id="{12DADC6A-86B5-E8B8-D28B-79476675FC2A}"/>
            </a:ext>
          </a:extLst>
        </xdr:cNvPr>
        <xdr:cNvSpPr/>
      </xdr:nvSpPr>
      <xdr:spPr>
        <a:xfrm>
          <a:off x="13458825" y="600075"/>
          <a:ext cx="666750" cy="438150"/>
        </a:xfrm>
        <a:prstGeom prst="ellipse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D490DCA-CB73-4AAF-9D69-79E695A710B5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92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171450</xdr:colOff>
      <xdr:row>0</xdr:row>
      <xdr:rowOff>152399</xdr:rowOff>
    </xdr:from>
    <xdr:to>
      <xdr:col>11</xdr:col>
      <xdr:colOff>76200</xdr:colOff>
      <xdr:row>2</xdr:row>
      <xdr:rowOff>0</xdr:rowOff>
    </xdr:to>
    <xdr:sp macro="" textlink="">
      <xdr:nvSpPr>
        <xdr:cNvPr id="4" name="Fluxograma: Terminação 3">
          <a:extLst>
            <a:ext uri="{FF2B5EF4-FFF2-40B4-BE49-F238E27FC236}">
              <a16:creationId xmlns:a16="http://schemas.microsoft.com/office/drawing/2014/main" id="{8B659C2F-9BF3-2A4B-CD5F-B666AD29D386}"/>
            </a:ext>
          </a:extLst>
        </xdr:cNvPr>
        <xdr:cNvSpPr/>
      </xdr:nvSpPr>
      <xdr:spPr>
        <a:xfrm>
          <a:off x="12763500" y="152399"/>
          <a:ext cx="1123950" cy="371476"/>
        </a:xfrm>
        <a:prstGeom prst="flowChartTerminator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Centro-Oeste</a:t>
          </a:r>
        </a:p>
      </xdr:txBody>
    </xdr:sp>
    <xdr:clientData/>
  </xdr:twoCellAnchor>
  <xdr:twoCellAnchor>
    <xdr:from>
      <xdr:col>9</xdr:col>
      <xdr:colOff>19049</xdr:colOff>
      <xdr:row>4</xdr:row>
      <xdr:rowOff>66675</xdr:rowOff>
    </xdr:from>
    <xdr:to>
      <xdr:col>10</xdr:col>
      <xdr:colOff>323848</xdr:colOff>
      <xdr:row>6</xdr:row>
      <xdr:rowOff>38100</xdr:rowOff>
    </xdr:to>
    <xdr:sp macro="" textlink="">
      <xdr:nvSpPr>
        <xdr:cNvPr id="24" name="Fluxograma: Dados Armazenados 23">
          <a:extLst>
            <a:ext uri="{FF2B5EF4-FFF2-40B4-BE49-F238E27FC236}">
              <a16:creationId xmlns:a16="http://schemas.microsoft.com/office/drawing/2014/main" id="{B42AAD0C-F9BF-4DAD-ACC9-240E27DCD594}"/>
            </a:ext>
          </a:extLst>
        </xdr:cNvPr>
        <xdr:cNvSpPr/>
      </xdr:nvSpPr>
      <xdr:spPr>
        <a:xfrm>
          <a:off x="12611099" y="1066800"/>
          <a:ext cx="914399" cy="457200"/>
        </a:xfrm>
        <a:prstGeom prst="flowChartOnlineStorage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Goiás</a:t>
          </a:r>
          <a:endParaRPr lang="pt-BR" sz="1100" b="1"/>
        </a:p>
      </xdr:txBody>
    </xdr:sp>
    <xdr:clientData/>
  </xdr:twoCellAnchor>
  <xdr:twoCellAnchor>
    <xdr:from>
      <xdr:col>9</xdr:col>
      <xdr:colOff>19050</xdr:colOff>
      <xdr:row>6</xdr:row>
      <xdr:rowOff>66675</xdr:rowOff>
    </xdr:from>
    <xdr:to>
      <xdr:col>10</xdr:col>
      <xdr:colOff>352424</xdr:colOff>
      <xdr:row>7</xdr:row>
      <xdr:rowOff>190500</xdr:rowOff>
    </xdr:to>
    <xdr:sp macro="" textlink="">
      <xdr:nvSpPr>
        <xdr:cNvPr id="25" name="Fluxograma: Dados Armazenados 24">
          <a:extLst>
            <a:ext uri="{FF2B5EF4-FFF2-40B4-BE49-F238E27FC236}">
              <a16:creationId xmlns:a16="http://schemas.microsoft.com/office/drawing/2014/main" id="{35F0BE95-46E8-40F0-BDC2-D8FBB0CEAB16}"/>
            </a:ext>
          </a:extLst>
        </xdr:cNvPr>
        <xdr:cNvSpPr/>
      </xdr:nvSpPr>
      <xdr:spPr>
        <a:xfrm>
          <a:off x="12611100" y="1552575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b="1">
              <a:effectLst/>
            </a:rPr>
            <a:t>Mato Grosso</a:t>
          </a:r>
        </a:p>
        <a:p>
          <a:pPr algn="l"/>
          <a:endParaRPr lang="pt-BR" sz="1100" b="1"/>
        </a:p>
      </xdr:txBody>
    </xdr:sp>
    <xdr:clientData/>
  </xdr:twoCellAnchor>
  <xdr:twoCellAnchor>
    <xdr:from>
      <xdr:col>9</xdr:col>
      <xdr:colOff>19049</xdr:colOff>
      <xdr:row>7</xdr:row>
      <xdr:rowOff>219075</xdr:rowOff>
    </xdr:from>
    <xdr:to>
      <xdr:col>11</xdr:col>
      <xdr:colOff>133350</xdr:colOff>
      <xdr:row>9</xdr:row>
      <xdr:rowOff>180975</xdr:rowOff>
    </xdr:to>
    <xdr:sp macro="" textlink="">
      <xdr:nvSpPr>
        <xdr:cNvPr id="26" name="Fluxograma: Dados Armazenados 25">
          <a:extLst>
            <a:ext uri="{FF2B5EF4-FFF2-40B4-BE49-F238E27FC236}">
              <a16:creationId xmlns:a16="http://schemas.microsoft.com/office/drawing/2014/main" id="{E65DC237-1D92-40D8-B403-61D106604923}"/>
            </a:ext>
          </a:extLst>
        </xdr:cNvPr>
        <xdr:cNvSpPr/>
      </xdr:nvSpPr>
      <xdr:spPr>
        <a:xfrm>
          <a:off x="12611099" y="2019300"/>
          <a:ext cx="1333501" cy="438150"/>
        </a:xfrm>
        <a:prstGeom prst="flowChartOnlineStorage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>
              <a:effectLst/>
            </a:rPr>
            <a:t>Mato Grosso do Sul</a:t>
          </a:r>
        </a:p>
        <a:p>
          <a:pPr algn="l"/>
          <a:endParaRPr lang="pt-BR" sz="1050" b="1"/>
        </a:p>
      </xdr:txBody>
    </xdr:sp>
    <xdr:clientData/>
  </xdr:twoCellAnchor>
  <xdr:twoCellAnchor>
    <xdr:from>
      <xdr:col>10</xdr:col>
      <xdr:colOff>228600</xdr:colOff>
      <xdr:row>4</xdr:row>
      <xdr:rowOff>66675</xdr:rowOff>
    </xdr:from>
    <xdr:to>
      <xdr:col>11</xdr:col>
      <xdr:colOff>285750</xdr:colOff>
      <xdr:row>6</xdr:row>
      <xdr:rowOff>19050</xdr:rowOff>
    </xdr:to>
    <xdr:sp macro="" textlink="$G$4">
      <xdr:nvSpPr>
        <xdr:cNvPr id="27" name="Elipse 26">
          <a:extLst>
            <a:ext uri="{FF2B5EF4-FFF2-40B4-BE49-F238E27FC236}">
              <a16:creationId xmlns:a16="http://schemas.microsoft.com/office/drawing/2014/main" id="{0C2EAA01-0C42-4182-BF1C-46B4BF32C913}"/>
            </a:ext>
          </a:extLst>
        </xdr:cNvPr>
        <xdr:cNvSpPr/>
      </xdr:nvSpPr>
      <xdr:spPr>
        <a:xfrm>
          <a:off x="13430250" y="1066800"/>
          <a:ext cx="666750" cy="438150"/>
        </a:xfrm>
        <a:prstGeom prst="ellipse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D37C167-1CC4-4855-A3D7-5F751F16D200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61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257175</xdr:colOff>
      <xdr:row>6</xdr:row>
      <xdr:rowOff>57150</xdr:rowOff>
    </xdr:from>
    <xdr:to>
      <xdr:col>11</xdr:col>
      <xdr:colOff>314325</xdr:colOff>
      <xdr:row>7</xdr:row>
      <xdr:rowOff>180975</xdr:rowOff>
    </xdr:to>
    <xdr:sp macro="" textlink="$G$5">
      <xdr:nvSpPr>
        <xdr:cNvPr id="28" name="Elipse 27">
          <a:extLst>
            <a:ext uri="{FF2B5EF4-FFF2-40B4-BE49-F238E27FC236}">
              <a16:creationId xmlns:a16="http://schemas.microsoft.com/office/drawing/2014/main" id="{6AB1A505-A5D8-4172-95E8-8B872CACBE77}"/>
            </a:ext>
          </a:extLst>
        </xdr:cNvPr>
        <xdr:cNvSpPr/>
      </xdr:nvSpPr>
      <xdr:spPr>
        <a:xfrm>
          <a:off x="13458825" y="1543050"/>
          <a:ext cx="666750" cy="438150"/>
        </a:xfrm>
        <a:prstGeom prst="ellipse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883F301-EDEC-4DEA-ABFD-F7C3E31AD963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148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581025</xdr:colOff>
      <xdr:row>7</xdr:row>
      <xdr:rowOff>209550</xdr:rowOff>
    </xdr:from>
    <xdr:to>
      <xdr:col>12</xdr:col>
      <xdr:colOff>28575</xdr:colOff>
      <xdr:row>9</xdr:row>
      <xdr:rowOff>171450</xdr:rowOff>
    </xdr:to>
    <xdr:sp macro="" textlink="$G$6">
      <xdr:nvSpPr>
        <xdr:cNvPr id="29" name="Elipse 28">
          <a:extLst>
            <a:ext uri="{FF2B5EF4-FFF2-40B4-BE49-F238E27FC236}">
              <a16:creationId xmlns:a16="http://schemas.microsoft.com/office/drawing/2014/main" id="{D89BC049-4F85-403B-BD4B-2E0C9C34B576}"/>
            </a:ext>
          </a:extLst>
        </xdr:cNvPr>
        <xdr:cNvSpPr/>
      </xdr:nvSpPr>
      <xdr:spPr>
        <a:xfrm>
          <a:off x="13782675" y="2009775"/>
          <a:ext cx="666750" cy="438150"/>
        </a:xfrm>
        <a:prstGeom prst="ellipse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79C2752-C5F1-4D96-8D18-6F90FD41B6B5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134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257175</xdr:colOff>
      <xdr:row>10</xdr:row>
      <xdr:rowOff>47624</xdr:rowOff>
    </xdr:from>
    <xdr:to>
      <xdr:col>11</xdr:col>
      <xdr:colOff>161925</xdr:colOff>
      <xdr:row>11</xdr:row>
      <xdr:rowOff>180975</xdr:rowOff>
    </xdr:to>
    <xdr:sp macro="" textlink="">
      <xdr:nvSpPr>
        <xdr:cNvPr id="30" name="Fluxograma: Terminação 29">
          <a:extLst>
            <a:ext uri="{FF2B5EF4-FFF2-40B4-BE49-F238E27FC236}">
              <a16:creationId xmlns:a16="http://schemas.microsoft.com/office/drawing/2014/main" id="{2477A74A-2DBB-4441-9AF8-452746D85F87}"/>
            </a:ext>
          </a:extLst>
        </xdr:cNvPr>
        <xdr:cNvSpPr/>
      </xdr:nvSpPr>
      <xdr:spPr>
        <a:xfrm>
          <a:off x="12849225" y="2562224"/>
          <a:ext cx="1123950" cy="371476"/>
        </a:xfrm>
        <a:prstGeom prst="flowChartTerminator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Nordeste</a:t>
          </a:r>
          <a:r>
            <a:rPr lang="pt-BR">
              <a:effectLst/>
            </a:rPr>
            <a:t> </a:t>
          </a:r>
          <a:endParaRPr lang="pt-BR" sz="1100" b="1"/>
        </a:p>
      </xdr:txBody>
    </xdr:sp>
    <xdr:clientData/>
  </xdr:twoCellAnchor>
  <xdr:twoCellAnchor>
    <xdr:from>
      <xdr:col>9</xdr:col>
      <xdr:colOff>9524</xdr:colOff>
      <xdr:row>12</xdr:row>
      <xdr:rowOff>47625</xdr:rowOff>
    </xdr:from>
    <xdr:to>
      <xdr:col>10</xdr:col>
      <xdr:colOff>380999</xdr:colOff>
      <xdr:row>14</xdr:row>
      <xdr:rowOff>9525</xdr:rowOff>
    </xdr:to>
    <xdr:sp macro="" textlink="">
      <xdr:nvSpPr>
        <xdr:cNvPr id="31" name="Fluxograma: Dados Armazenados 30">
          <a:extLst>
            <a:ext uri="{FF2B5EF4-FFF2-40B4-BE49-F238E27FC236}">
              <a16:creationId xmlns:a16="http://schemas.microsoft.com/office/drawing/2014/main" id="{ADB2429B-B94B-4CDA-B4F9-AED5845A5306}"/>
            </a:ext>
          </a:extLst>
        </xdr:cNvPr>
        <xdr:cNvSpPr/>
      </xdr:nvSpPr>
      <xdr:spPr>
        <a:xfrm>
          <a:off x="12601574" y="3038475"/>
          <a:ext cx="981075" cy="438150"/>
        </a:xfrm>
        <a:prstGeom prst="flowChartOnlineStorag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Alagoas</a:t>
          </a:r>
          <a:endParaRPr lang="pt-BR" sz="1100" b="1"/>
        </a:p>
      </xdr:txBody>
    </xdr:sp>
    <xdr:clientData/>
  </xdr:twoCellAnchor>
  <xdr:twoCellAnchor>
    <xdr:from>
      <xdr:col>10</xdr:col>
      <xdr:colOff>247650</xdr:colOff>
      <xdr:row>12</xdr:row>
      <xdr:rowOff>57150</xdr:rowOff>
    </xdr:from>
    <xdr:to>
      <xdr:col>11</xdr:col>
      <xdr:colOff>304800</xdr:colOff>
      <xdr:row>14</xdr:row>
      <xdr:rowOff>19050</xdr:rowOff>
    </xdr:to>
    <xdr:sp macro="" textlink="$G$8">
      <xdr:nvSpPr>
        <xdr:cNvPr id="32" name="Elipse 31">
          <a:extLst>
            <a:ext uri="{FF2B5EF4-FFF2-40B4-BE49-F238E27FC236}">
              <a16:creationId xmlns:a16="http://schemas.microsoft.com/office/drawing/2014/main" id="{FFD5DC16-EC3E-49F9-81CD-83BE63EFD869}"/>
            </a:ext>
          </a:extLst>
        </xdr:cNvPr>
        <xdr:cNvSpPr/>
      </xdr:nvSpPr>
      <xdr:spPr>
        <a:xfrm>
          <a:off x="13449300" y="3048000"/>
          <a:ext cx="666750" cy="438150"/>
        </a:xfrm>
        <a:prstGeom prst="ellips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B9F6C6A-2996-48E4-86D1-F94DE75536C9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112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9525</xdr:colOff>
      <xdr:row>14</xdr:row>
      <xdr:rowOff>38100</xdr:rowOff>
    </xdr:from>
    <xdr:to>
      <xdr:col>10</xdr:col>
      <xdr:colOff>342899</xdr:colOff>
      <xdr:row>15</xdr:row>
      <xdr:rowOff>238125</xdr:rowOff>
    </xdr:to>
    <xdr:sp macro="" textlink="">
      <xdr:nvSpPr>
        <xdr:cNvPr id="33" name="Fluxograma: Dados Armazenados 32">
          <a:extLst>
            <a:ext uri="{FF2B5EF4-FFF2-40B4-BE49-F238E27FC236}">
              <a16:creationId xmlns:a16="http://schemas.microsoft.com/office/drawing/2014/main" id="{C8A68BC9-7D87-4135-A3BF-E077559C2126}"/>
            </a:ext>
          </a:extLst>
        </xdr:cNvPr>
        <xdr:cNvSpPr/>
      </xdr:nvSpPr>
      <xdr:spPr>
        <a:xfrm>
          <a:off x="12601575" y="3505200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Bahia</a:t>
          </a:r>
          <a:endParaRPr lang="pt-BR" sz="1100" b="1"/>
        </a:p>
      </xdr:txBody>
    </xdr:sp>
    <xdr:clientData/>
  </xdr:twoCellAnchor>
  <xdr:twoCellAnchor>
    <xdr:from>
      <xdr:col>9</xdr:col>
      <xdr:colOff>19049</xdr:colOff>
      <xdr:row>17</xdr:row>
      <xdr:rowOff>171450</xdr:rowOff>
    </xdr:from>
    <xdr:to>
      <xdr:col>10</xdr:col>
      <xdr:colOff>552450</xdr:colOff>
      <xdr:row>19</xdr:row>
      <xdr:rowOff>133350</xdr:rowOff>
    </xdr:to>
    <xdr:sp macro="" textlink="">
      <xdr:nvSpPr>
        <xdr:cNvPr id="34" name="Fluxograma: Dados Armazenados 33">
          <a:extLst>
            <a:ext uri="{FF2B5EF4-FFF2-40B4-BE49-F238E27FC236}">
              <a16:creationId xmlns:a16="http://schemas.microsoft.com/office/drawing/2014/main" id="{E6CC551A-5B7A-4792-94AE-761D0258C7B5}"/>
            </a:ext>
          </a:extLst>
        </xdr:cNvPr>
        <xdr:cNvSpPr/>
      </xdr:nvSpPr>
      <xdr:spPr>
        <a:xfrm>
          <a:off x="12611099" y="4438650"/>
          <a:ext cx="1143001" cy="438150"/>
        </a:xfrm>
        <a:prstGeom prst="flowChartOnlineStorag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Maranhão</a:t>
          </a:r>
          <a:endParaRPr lang="pt-BR" sz="1100" b="1"/>
        </a:p>
      </xdr:txBody>
    </xdr:sp>
    <xdr:clientData/>
  </xdr:twoCellAnchor>
  <xdr:twoCellAnchor>
    <xdr:from>
      <xdr:col>9</xdr:col>
      <xdr:colOff>0</xdr:colOff>
      <xdr:row>16</xdr:row>
      <xdr:rowOff>19050</xdr:rowOff>
    </xdr:from>
    <xdr:to>
      <xdr:col>10</xdr:col>
      <xdr:colOff>333374</xdr:colOff>
      <xdr:row>17</xdr:row>
      <xdr:rowOff>142875</xdr:rowOff>
    </xdr:to>
    <xdr:sp macro="" textlink="">
      <xdr:nvSpPr>
        <xdr:cNvPr id="35" name="Fluxograma: Dados Armazenados 34">
          <a:extLst>
            <a:ext uri="{FF2B5EF4-FFF2-40B4-BE49-F238E27FC236}">
              <a16:creationId xmlns:a16="http://schemas.microsoft.com/office/drawing/2014/main" id="{95367288-A7F6-4670-A2A1-23D34D29ED82}"/>
            </a:ext>
          </a:extLst>
        </xdr:cNvPr>
        <xdr:cNvSpPr/>
      </xdr:nvSpPr>
      <xdr:spPr>
        <a:xfrm>
          <a:off x="12592050" y="3971925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Ceará</a:t>
          </a:r>
          <a:endParaRPr lang="pt-BR" sz="1100" b="1"/>
        </a:p>
      </xdr:txBody>
    </xdr:sp>
    <xdr:clientData/>
  </xdr:twoCellAnchor>
  <xdr:twoCellAnchor>
    <xdr:from>
      <xdr:col>9</xdr:col>
      <xdr:colOff>9525</xdr:colOff>
      <xdr:row>19</xdr:row>
      <xdr:rowOff>161925</xdr:rowOff>
    </xdr:from>
    <xdr:to>
      <xdr:col>10</xdr:col>
      <xdr:colOff>342899</xdr:colOff>
      <xdr:row>21</xdr:row>
      <xdr:rowOff>123825</xdr:rowOff>
    </xdr:to>
    <xdr:sp macro="" textlink="">
      <xdr:nvSpPr>
        <xdr:cNvPr id="36" name="Fluxograma: Dados Armazenados 35">
          <a:extLst>
            <a:ext uri="{FF2B5EF4-FFF2-40B4-BE49-F238E27FC236}">
              <a16:creationId xmlns:a16="http://schemas.microsoft.com/office/drawing/2014/main" id="{FB275765-196B-4584-A4BA-FD1109D75A00}"/>
            </a:ext>
          </a:extLst>
        </xdr:cNvPr>
        <xdr:cNvSpPr/>
      </xdr:nvSpPr>
      <xdr:spPr>
        <a:xfrm>
          <a:off x="12601575" y="4905375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Paraíba</a:t>
          </a:r>
          <a:endParaRPr lang="pt-BR" sz="1100" b="1"/>
        </a:p>
      </xdr:txBody>
    </xdr:sp>
    <xdr:clientData/>
  </xdr:twoCellAnchor>
  <xdr:twoCellAnchor>
    <xdr:from>
      <xdr:col>9</xdr:col>
      <xdr:colOff>9525</xdr:colOff>
      <xdr:row>21</xdr:row>
      <xdr:rowOff>152400</xdr:rowOff>
    </xdr:from>
    <xdr:to>
      <xdr:col>11</xdr:col>
      <xdr:colOff>180975</xdr:colOff>
      <xdr:row>23</xdr:row>
      <xdr:rowOff>114300</xdr:rowOff>
    </xdr:to>
    <xdr:sp macro="" textlink="">
      <xdr:nvSpPr>
        <xdr:cNvPr id="37" name="Fluxograma: Dados Armazenados 36">
          <a:extLst>
            <a:ext uri="{FF2B5EF4-FFF2-40B4-BE49-F238E27FC236}">
              <a16:creationId xmlns:a16="http://schemas.microsoft.com/office/drawing/2014/main" id="{744717D1-C746-4048-8C90-A1CBB954DD32}"/>
            </a:ext>
          </a:extLst>
        </xdr:cNvPr>
        <xdr:cNvSpPr/>
      </xdr:nvSpPr>
      <xdr:spPr>
        <a:xfrm>
          <a:off x="12601575" y="5372100"/>
          <a:ext cx="1390650" cy="438150"/>
        </a:xfrm>
        <a:prstGeom prst="flowChartOnlineStorag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Pernambuco</a:t>
          </a:r>
          <a:endParaRPr lang="pt-BR" sz="1100" b="1"/>
        </a:p>
      </xdr:txBody>
    </xdr:sp>
    <xdr:clientData/>
  </xdr:twoCellAnchor>
  <xdr:twoCellAnchor>
    <xdr:from>
      <xdr:col>9</xdr:col>
      <xdr:colOff>0</xdr:colOff>
      <xdr:row>23</xdr:row>
      <xdr:rowOff>142875</xdr:rowOff>
    </xdr:from>
    <xdr:to>
      <xdr:col>10</xdr:col>
      <xdr:colOff>333374</xdr:colOff>
      <xdr:row>25</xdr:row>
      <xdr:rowOff>19050</xdr:rowOff>
    </xdr:to>
    <xdr:sp macro="" textlink="">
      <xdr:nvSpPr>
        <xdr:cNvPr id="38" name="Fluxograma: Dados Armazenados 37">
          <a:extLst>
            <a:ext uri="{FF2B5EF4-FFF2-40B4-BE49-F238E27FC236}">
              <a16:creationId xmlns:a16="http://schemas.microsoft.com/office/drawing/2014/main" id="{AA6FE3A1-A361-4B00-A2DC-9C670123C856}"/>
            </a:ext>
          </a:extLst>
        </xdr:cNvPr>
        <xdr:cNvSpPr/>
      </xdr:nvSpPr>
      <xdr:spPr>
        <a:xfrm>
          <a:off x="12592050" y="5838825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Piauí</a:t>
          </a:r>
          <a:endParaRPr lang="pt-BR" sz="1100" b="1"/>
        </a:p>
      </xdr:txBody>
    </xdr:sp>
    <xdr:clientData/>
  </xdr:twoCellAnchor>
  <xdr:twoCellAnchor>
    <xdr:from>
      <xdr:col>8</xdr:col>
      <xdr:colOff>600073</xdr:colOff>
      <xdr:row>25</xdr:row>
      <xdr:rowOff>47625</xdr:rowOff>
    </xdr:from>
    <xdr:to>
      <xdr:col>11</xdr:col>
      <xdr:colOff>9524</xdr:colOff>
      <xdr:row>27</xdr:row>
      <xdr:rowOff>9525</xdr:rowOff>
    </xdr:to>
    <xdr:sp macro="" textlink="">
      <xdr:nvSpPr>
        <xdr:cNvPr id="39" name="Fluxograma: Dados Armazenados 38">
          <a:extLst>
            <a:ext uri="{FF2B5EF4-FFF2-40B4-BE49-F238E27FC236}">
              <a16:creationId xmlns:a16="http://schemas.microsoft.com/office/drawing/2014/main" id="{2DF93D14-BB71-4FDB-B8E4-3E7D58DEBF48}"/>
            </a:ext>
          </a:extLst>
        </xdr:cNvPr>
        <xdr:cNvSpPr/>
      </xdr:nvSpPr>
      <xdr:spPr>
        <a:xfrm>
          <a:off x="12582523" y="6305550"/>
          <a:ext cx="1238251" cy="438150"/>
        </a:xfrm>
        <a:prstGeom prst="flowChartOnlineStorag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Rio Grande do Norte</a:t>
          </a:r>
          <a:endParaRPr lang="pt-BR" sz="1100" b="1"/>
        </a:p>
      </xdr:txBody>
    </xdr:sp>
    <xdr:clientData/>
  </xdr:twoCellAnchor>
  <xdr:twoCellAnchor>
    <xdr:from>
      <xdr:col>9</xdr:col>
      <xdr:colOff>0</xdr:colOff>
      <xdr:row>27</xdr:row>
      <xdr:rowOff>28575</xdr:rowOff>
    </xdr:from>
    <xdr:to>
      <xdr:col>10</xdr:col>
      <xdr:colOff>333374</xdr:colOff>
      <xdr:row>28</xdr:row>
      <xdr:rowOff>228600</xdr:rowOff>
    </xdr:to>
    <xdr:sp macro="" textlink="">
      <xdr:nvSpPr>
        <xdr:cNvPr id="40" name="Fluxograma: Dados Armazenados 39">
          <a:extLst>
            <a:ext uri="{FF2B5EF4-FFF2-40B4-BE49-F238E27FC236}">
              <a16:creationId xmlns:a16="http://schemas.microsoft.com/office/drawing/2014/main" id="{0EAF6E87-747C-4C8B-8202-0DA1D2B199BC}"/>
            </a:ext>
          </a:extLst>
        </xdr:cNvPr>
        <xdr:cNvSpPr/>
      </xdr:nvSpPr>
      <xdr:spPr>
        <a:xfrm>
          <a:off x="12592050" y="6762750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Sergipe</a:t>
          </a:r>
          <a:endParaRPr lang="pt-BR" sz="1100" b="1"/>
        </a:p>
      </xdr:txBody>
    </xdr:sp>
    <xdr:clientData/>
  </xdr:twoCellAnchor>
  <xdr:twoCellAnchor>
    <xdr:from>
      <xdr:col>10</xdr:col>
      <xdr:colOff>209550</xdr:colOff>
      <xdr:row>16</xdr:row>
      <xdr:rowOff>28575</xdr:rowOff>
    </xdr:from>
    <xdr:to>
      <xdr:col>11</xdr:col>
      <xdr:colOff>266700</xdr:colOff>
      <xdr:row>17</xdr:row>
      <xdr:rowOff>152400</xdr:rowOff>
    </xdr:to>
    <xdr:sp macro="" textlink="$G$10">
      <xdr:nvSpPr>
        <xdr:cNvPr id="2" name="Elipse 1">
          <a:extLst>
            <a:ext uri="{FF2B5EF4-FFF2-40B4-BE49-F238E27FC236}">
              <a16:creationId xmlns:a16="http://schemas.microsoft.com/office/drawing/2014/main" id="{0878EB3A-D17F-4691-8C56-510DE5ED8F7B}"/>
            </a:ext>
          </a:extLst>
        </xdr:cNvPr>
        <xdr:cNvSpPr/>
      </xdr:nvSpPr>
      <xdr:spPr>
        <a:xfrm>
          <a:off x="13411200" y="3981450"/>
          <a:ext cx="666750" cy="438150"/>
        </a:xfrm>
        <a:prstGeom prst="ellips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8D89497-E2F2-4A67-9CCA-714FABF23B8C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83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400050</xdr:colOff>
      <xdr:row>17</xdr:row>
      <xdr:rowOff>171450</xdr:rowOff>
    </xdr:from>
    <xdr:to>
      <xdr:col>11</xdr:col>
      <xdr:colOff>457200</xdr:colOff>
      <xdr:row>19</xdr:row>
      <xdr:rowOff>133350</xdr:rowOff>
    </xdr:to>
    <xdr:sp macro="" textlink="$G$11">
      <xdr:nvSpPr>
        <xdr:cNvPr id="5" name="Elipse 4">
          <a:extLst>
            <a:ext uri="{FF2B5EF4-FFF2-40B4-BE49-F238E27FC236}">
              <a16:creationId xmlns:a16="http://schemas.microsoft.com/office/drawing/2014/main" id="{B89D0075-7886-4F10-857A-3E76193A7AB2}"/>
            </a:ext>
          </a:extLst>
        </xdr:cNvPr>
        <xdr:cNvSpPr/>
      </xdr:nvSpPr>
      <xdr:spPr>
        <a:xfrm>
          <a:off x="13601700" y="4438650"/>
          <a:ext cx="666750" cy="438150"/>
        </a:xfrm>
        <a:prstGeom prst="ellips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352335F-CE0F-4025-B1C8-A6EF5E9566A9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2.707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219075</xdr:colOff>
      <xdr:row>19</xdr:row>
      <xdr:rowOff>161925</xdr:rowOff>
    </xdr:from>
    <xdr:to>
      <xdr:col>11</xdr:col>
      <xdr:colOff>276225</xdr:colOff>
      <xdr:row>21</xdr:row>
      <xdr:rowOff>123825</xdr:rowOff>
    </xdr:to>
    <xdr:sp macro="" textlink="$G$12">
      <xdr:nvSpPr>
        <xdr:cNvPr id="6" name="Elipse 5">
          <a:extLst>
            <a:ext uri="{FF2B5EF4-FFF2-40B4-BE49-F238E27FC236}">
              <a16:creationId xmlns:a16="http://schemas.microsoft.com/office/drawing/2014/main" id="{D76C2753-3C25-4269-969E-2B516DCFDBFB}"/>
            </a:ext>
          </a:extLst>
        </xdr:cNvPr>
        <xdr:cNvSpPr/>
      </xdr:nvSpPr>
      <xdr:spPr>
        <a:xfrm>
          <a:off x="13420725" y="4905375"/>
          <a:ext cx="666750" cy="438150"/>
        </a:xfrm>
        <a:prstGeom prst="ellips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9995270-4442-4C2E-9619-38403960AB00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305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600075</xdr:colOff>
      <xdr:row>21</xdr:row>
      <xdr:rowOff>142875</xdr:rowOff>
    </xdr:from>
    <xdr:to>
      <xdr:col>12</xdr:col>
      <xdr:colOff>47625</xdr:colOff>
      <xdr:row>23</xdr:row>
      <xdr:rowOff>104775</xdr:rowOff>
    </xdr:to>
    <xdr:sp macro="" textlink="$G$13">
      <xdr:nvSpPr>
        <xdr:cNvPr id="7" name="Elipse 6">
          <a:extLst>
            <a:ext uri="{FF2B5EF4-FFF2-40B4-BE49-F238E27FC236}">
              <a16:creationId xmlns:a16="http://schemas.microsoft.com/office/drawing/2014/main" id="{BF5E75DB-4DB2-4CBC-A322-383E154AC9EB}"/>
            </a:ext>
          </a:extLst>
        </xdr:cNvPr>
        <xdr:cNvSpPr/>
      </xdr:nvSpPr>
      <xdr:spPr>
        <a:xfrm>
          <a:off x="13801725" y="5362575"/>
          <a:ext cx="666750" cy="438150"/>
        </a:xfrm>
        <a:prstGeom prst="ellips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85C986-21FF-44DB-88D7-907D8775D592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225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209550</xdr:colOff>
      <xdr:row>23</xdr:row>
      <xdr:rowOff>142875</xdr:rowOff>
    </xdr:from>
    <xdr:to>
      <xdr:col>11</xdr:col>
      <xdr:colOff>266700</xdr:colOff>
      <xdr:row>25</xdr:row>
      <xdr:rowOff>19050</xdr:rowOff>
    </xdr:to>
    <xdr:sp macro="" textlink="$G$14">
      <xdr:nvSpPr>
        <xdr:cNvPr id="8" name="Elipse 7">
          <a:extLst>
            <a:ext uri="{FF2B5EF4-FFF2-40B4-BE49-F238E27FC236}">
              <a16:creationId xmlns:a16="http://schemas.microsoft.com/office/drawing/2014/main" id="{3126E29E-3C6C-416A-AE4C-2203AEB689EF}"/>
            </a:ext>
          </a:extLst>
        </xdr:cNvPr>
        <xdr:cNvSpPr/>
      </xdr:nvSpPr>
      <xdr:spPr>
        <a:xfrm>
          <a:off x="13411200" y="5838825"/>
          <a:ext cx="666750" cy="438150"/>
        </a:xfrm>
        <a:prstGeom prst="ellips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1E440F4-BB53-4735-A8E0-B7A4936D5643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1.707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447675</xdr:colOff>
      <xdr:row>25</xdr:row>
      <xdr:rowOff>47625</xdr:rowOff>
    </xdr:from>
    <xdr:to>
      <xdr:col>11</xdr:col>
      <xdr:colOff>504825</xdr:colOff>
      <xdr:row>27</xdr:row>
      <xdr:rowOff>9525</xdr:rowOff>
    </xdr:to>
    <xdr:sp macro="" textlink="$G$15">
      <xdr:nvSpPr>
        <xdr:cNvPr id="9" name="Elipse 8">
          <a:extLst>
            <a:ext uri="{FF2B5EF4-FFF2-40B4-BE49-F238E27FC236}">
              <a16:creationId xmlns:a16="http://schemas.microsoft.com/office/drawing/2014/main" id="{497B3A38-6D40-459A-8A91-22AD936497B1}"/>
            </a:ext>
          </a:extLst>
        </xdr:cNvPr>
        <xdr:cNvSpPr/>
      </xdr:nvSpPr>
      <xdr:spPr>
        <a:xfrm>
          <a:off x="13649325" y="6305550"/>
          <a:ext cx="666750" cy="438150"/>
        </a:xfrm>
        <a:prstGeom prst="ellips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3FAF28-6306-4C7E-8D72-ED1CF6920E5D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431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209550</xdr:colOff>
      <xdr:row>27</xdr:row>
      <xdr:rowOff>28575</xdr:rowOff>
    </xdr:from>
    <xdr:to>
      <xdr:col>11</xdr:col>
      <xdr:colOff>266700</xdr:colOff>
      <xdr:row>28</xdr:row>
      <xdr:rowOff>228600</xdr:rowOff>
    </xdr:to>
    <xdr:sp macro="" textlink="$G$16">
      <xdr:nvSpPr>
        <xdr:cNvPr id="13" name="Elipse 12">
          <a:extLst>
            <a:ext uri="{FF2B5EF4-FFF2-40B4-BE49-F238E27FC236}">
              <a16:creationId xmlns:a16="http://schemas.microsoft.com/office/drawing/2014/main" id="{B9651917-5BBD-43F0-9C98-3E44A18D3F67}"/>
            </a:ext>
          </a:extLst>
        </xdr:cNvPr>
        <xdr:cNvSpPr/>
      </xdr:nvSpPr>
      <xdr:spPr>
        <a:xfrm>
          <a:off x="13411200" y="6762750"/>
          <a:ext cx="666750" cy="438150"/>
        </a:xfrm>
        <a:prstGeom prst="ellips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8A638AE-DF51-4800-A558-5EE4EDEF01B2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89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228600</xdr:colOff>
      <xdr:row>14</xdr:row>
      <xdr:rowOff>47625</xdr:rowOff>
    </xdr:from>
    <xdr:to>
      <xdr:col>11</xdr:col>
      <xdr:colOff>285750</xdr:colOff>
      <xdr:row>16</xdr:row>
      <xdr:rowOff>0</xdr:rowOff>
    </xdr:to>
    <xdr:sp macro="" textlink="$G$9">
      <xdr:nvSpPr>
        <xdr:cNvPr id="14" name="Elipse 13">
          <a:extLst>
            <a:ext uri="{FF2B5EF4-FFF2-40B4-BE49-F238E27FC236}">
              <a16:creationId xmlns:a16="http://schemas.microsoft.com/office/drawing/2014/main" id="{6C0880BB-91A5-429A-9DC9-F6C2494D2EF7}"/>
            </a:ext>
          </a:extLst>
        </xdr:cNvPr>
        <xdr:cNvSpPr/>
      </xdr:nvSpPr>
      <xdr:spPr>
        <a:xfrm>
          <a:off x="13430250" y="3514725"/>
          <a:ext cx="666750" cy="438150"/>
        </a:xfrm>
        <a:prstGeom prst="ellips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EB2AE2D-540F-4A76-9D20-0B78217B5933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275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247650</xdr:colOff>
      <xdr:row>29</xdr:row>
      <xdr:rowOff>28574</xdr:rowOff>
    </xdr:from>
    <xdr:to>
      <xdr:col>11</xdr:col>
      <xdr:colOff>152400</xdr:colOff>
      <xdr:row>30</xdr:row>
      <xdr:rowOff>85725</xdr:rowOff>
    </xdr:to>
    <xdr:sp macro="" textlink="">
      <xdr:nvSpPr>
        <xdr:cNvPr id="15" name="Fluxograma: Terminação 14">
          <a:extLst>
            <a:ext uri="{FF2B5EF4-FFF2-40B4-BE49-F238E27FC236}">
              <a16:creationId xmlns:a16="http://schemas.microsoft.com/office/drawing/2014/main" id="{5F7DC3D8-49AF-4CF6-B34F-33FDBDB83819}"/>
            </a:ext>
          </a:extLst>
        </xdr:cNvPr>
        <xdr:cNvSpPr/>
      </xdr:nvSpPr>
      <xdr:spPr>
        <a:xfrm>
          <a:off x="12839700" y="7248524"/>
          <a:ext cx="1123950" cy="371476"/>
        </a:xfrm>
        <a:prstGeom prst="flowChartTerminator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Sul</a:t>
          </a:r>
          <a:r>
            <a:rPr lang="pt-BR">
              <a:effectLst/>
            </a:rPr>
            <a:t> </a:t>
          </a:r>
          <a:endParaRPr lang="pt-BR" sz="1100" b="1"/>
        </a:p>
      </xdr:txBody>
    </xdr:sp>
    <xdr:clientData/>
  </xdr:twoCellAnchor>
  <xdr:twoCellAnchor>
    <xdr:from>
      <xdr:col>9</xdr:col>
      <xdr:colOff>19050</xdr:colOff>
      <xdr:row>30</xdr:row>
      <xdr:rowOff>114300</xdr:rowOff>
    </xdr:from>
    <xdr:to>
      <xdr:col>10</xdr:col>
      <xdr:colOff>352424</xdr:colOff>
      <xdr:row>32</xdr:row>
      <xdr:rowOff>76200</xdr:rowOff>
    </xdr:to>
    <xdr:sp macro="" textlink="">
      <xdr:nvSpPr>
        <xdr:cNvPr id="16" name="Fluxograma: Dados Armazenados 15">
          <a:extLst>
            <a:ext uri="{FF2B5EF4-FFF2-40B4-BE49-F238E27FC236}">
              <a16:creationId xmlns:a16="http://schemas.microsoft.com/office/drawing/2014/main" id="{30CB40F8-415B-4D9B-9AD6-F87CA9506682}"/>
            </a:ext>
          </a:extLst>
        </xdr:cNvPr>
        <xdr:cNvSpPr/>
      </xdr:nvSpPr>
      <xdr:spPr>
        <a:xfrm>
          <a:off x="12611100" y="7648575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Paraná</a:t>
          </a:r>
          <a:endParaRPr lang="pt-BR" sz="1100" b="1"/>
        </a:p>
      </xdr:txBody>
    </xdr:sp>
    <xdr:clientData/>
  </xdr:twoCellAnchor>
  <xdr:twoCellAnchor>
    <xdr:from>
      <xdr:col>10</xdr:col>
      <xdr:colOff>238124</xdr:colOff>
      <xdr:row>30</xdr:row>
      <xdr:rowOff>123825</xdr:rowOff>
    </xdr:from>
    <xdr:to>
      <xdr:col>11</xdr:col>
      <xdr:colOff>342899</xdr:colOff>
      <xdr:row>32</xdr:row>
      <xdr:rowOff>85725</xdr:rowOff>
    </xdr:to>
    <xdr:sp macro="" textlink="$G$31">
      <xdr:nvSpPr>
        <xdr:cNvPr id="17" name="Elipse 16">
          <a:extLst>
            <a:ext uri="{FF2B5EF4-FFF2-40B4-BE49-F238E27FC236}">
              <a16:creationId xmlns:a16="http://schemas.microsoft.com/office/drawing/2014/main" id="{EB91DDE5-3F36-4886-8D16-281F85D0E6E3}"/>
            </a:ext>
          </a:extLst>
        </xdr:cNvPr>
        <xdr:cNvSpPr/>
      </xdr:nvSpPr>
      <xdr:spPr>
        <a:xfrm>
          <a:off x="13439774" y="7658100"/>
          <a:ext cx="714375" cy="438150"/>
        </a:xfrm>
        <a:prstGeom prst="ellipse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923E2CA-2F2E-4C12-B9A8-1B54BB5A96D6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857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28574</xdr:colOff>
      <xdr:row>32</xdr:row>
      <xdr:rowOff>104775</xdr:rowOff>
    </xdr:from>
    <xdr:to>
      <xdr:col>11</xdr:col>
      <xdr:colOff>57149</xdr:colOff>
      <xdr:row>33</xdr:row>
      <xdr:rowOff>295275</xdr:rowOff>
    </xdr:to>
    <xdr:sp macro="" textlink="">
      <xdr:nvSpPr>
        <xdr:cNvPr id="18" name="Fluxograma: Dados Armazenados 17">
          <a:extLst>
            <a:ext uri="{FF2B5EF4-FFF2-40B4-BE49-F238E27FC236}">
              <a16:creationId xmlns:a16="http://schemas.microsoft.com/office/drawing/2014/main" id="{2E255575-9C54-4D34-A08E-A3EF74727E90}"/>
            </a:ext>
          </a:extLst>
        </xdr:cNvPr>
        <xdr:cNvSpPr/>
      </xdr:nvSpPr>
      <xdr:spPr>
        <a:xfrm>
          <a:off x="12620624" y="8115300"/>
          <a:ext cx="1247775" cy="438150"/>
        </a:xfrm>
        <a:prstGeom prst="flowChartOnlineStorage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Rio Grande do Sul</a:t>
          </a:r>
          <a:endParaRPr lang="pt-BR" sz="1100" b="1"/>
        </a:p>
      </xdr:txBody>
    </xdr:sp>
    <xdr:clientData/>
  </xdr:twoCellAnchor>
  <xdr:twoCellAnchor>
    <xdr:from>
      <xdr:col>9</xdr:col>
      <xdr:colOff>0</xdr:colOff>
      <xdr:row>34</xdr:row>
      <xdr:rowOff>19050</xdr:rowOff>
    </xdr:from>
    <xdr:to>
      <xdr:col>10</xdr:col>
      <xdr:colOff>419100</xdr:colOff>
      <xdr:row>35</xdr:row>
      <xdr:rowOff>209550</xdr:rowOff>
    </xdr:to>
    <xdr:sp macro="" textlink="">
      <xdr:nvSpPr>
        <xdr:cNvPr id="19" name="Fluxograma: Dados Armazenados 18">
          <a:extLst>
            <a:ext uri="{FF2B5EF4-FFF2-40B4-BE49-F238E27FC236}">
              <a16:creationId xmlns:a16="http://schemas.microsoft.com/office/drawing/2014/main" id="{320CE4F2-488D-47D5-B182-4AA8F26F3F31}"/>
            </a:ext>
          </a:extLst>
        </xdr:cNvPr>
        <xdr:cNvSpPr/>
      </xdr:nvSpPr>
      <xdr:spPr>
        <a:xfrm>
          <a:off x="12592050" y="8591550"/>
          <a:ext cx="1028700" cy="438150"/>
        </a:xfrm>
        <a:prstGeom prst="flowChartOnlineStorage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Santa Catarina</a:t>
          </a:r>
          <a:r>
            <a:rPr lang="pt-BR">
              <a:effectLst/>
            </a:rPr>
            <a:t> </a:t>
          </a:r>
          <a:endParaRPr lang="pt-BR" sz="1100" b="1"/>
        </a:p>
      </xdr:txBody>
    </xdr:sp>
    <xdr:clientData/>
  </xdr:twoCellAnchor>
  <xdr:twoCellAnchor>
    <xdr:from>
      <xdr:col>10</xdr:col>
      <xdr:colOff>504824</xdr:colOff>
      <xdr:row>32</xdr:row>
      <xdr:rowOff>95250</xdr:rowOff>
    </xdr:from>
    <xdr:to>
      <xdr:col>12</xdr:col>
      <xdr:colOff>38099</xdr:colOff>
      <xdr:row>33</xdr:row>
      <xdr:rowOff>285750</xdr:rowOff>
    </xdr:to>
    <xdr:sp macro="" textlink="$G$32">
      <xdr:nvSpPr>
        <xdr:cNvPr id="20" name="Elipse 19">
          <a:extLst>
            <a:ext uri="{FF2B5EF4-FFF2-40B4-BE49-F238E27FC236}">
              <a16:creationId xmlns:a16="http://schemas.microsoft.com/office/drawing/2014/main" id="{8E44A8BF-6A64-4EA4-830B-10B4B3ED2312}"/>
            </a:ext>
          </a:extLst>
        </xdr:cNvPr>
        <xdr:cNvSpPr/>
      </xdr:nvSpPr>
      <xdr:spPr>
        <a:xfrm>
          <a:off x="13706474" y="8105775"/>
          <a:ext cx="752475" cy="438150"/>
        </a:xfrm>
        <a:prstGeom prst="ellipse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2FA7C93-5168-4643-A204-A5E734DAFFA4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4.127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295275</xdr:colOff>
      <xdr:row>34</xdr:row>
      <xdr:rowOff>19050</xdr:rowOff>
    </xdr:from>
    <xdr:to>
      <xdr:col>11</xdr:col>
      <xdr:colOff>352425</xdr:colOff>
      <xdr:row>35</xdr:row>
      <xdr:rowOff>209550</xdr:rowOff>
    </xdr:to>
    <xdr:sp macro="" textlink="$G$33">
      <xdr:nvSpPr>
        <xdr:cNvPr id="21" name="Elipse 20">
          <a:extLst>
            <a:ext uri="{FF2B5EF4-FFF2-40B4-BE49-F238E27FC236}">
              <a16:creationId xmlns:a16="http://schemas.microsoft.com/office/drawing/2014/main" id="{20F9AA68-1C03-4AC6-89E5-225C9E04AB3C}"/>
            </a:ext>
          </a:extLst>
        </xdr:cNvPr>
        <xdr:cNvSpPr/>
      </xdr:nvSpPr>
      <xdr:spPr>
        <a:xfrm>
          <a:off x="13496925" y="8591550"/>
          <a:ext cx="666750" cy="438150"/>
        </a:xfrm>
        <a:prstGeom prst="ellipse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F8B2F1E-9596-4D6F-A0AE-1A8720E4F193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228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466725</xdr:colOff>
      <xdr:row>9</xdr:row>
      <xdr:rowOff>57150</xdr:rowOff>
    </xdr:from>
    <xdr:to>
      <xdr:col>28</xdr:col>
      <xdr:colOff>523875</xdr:colOff>
      <xdr:row>11</xdr:row>
      <xdr:rowOff>19050</xdr:rowOff>
    </xdr:to>
    <xdr:sp macro="" textlink="$G$18">
      <xdr:nvSpPr>
        <xdr:cNvPr id="22" name="Elipse 21">
          <a:extLst>
            <a:ext uri="{FF2B5EF4-FFF2-40B4-BE49-F238E27FC236}">
              <a16:creationId xmlns:a16="http://schemas.microsoft.com/office/drawing/2014/main" id="{D8CE8535-C137-4559-AE29-EEC3BCAB3E1C}"/>
            </a:ext>
          </a:extLst>
        </xdr:cNvPr>
        <xdr:cNvSpPr/>
      </xdr:nvSpPr>
      <xdr:spPr>
        <a:xfrm>
          <a:off x="24031575" y="2333625"/>
          <a:ext cx="666750" cy="438150"/>
        </a:xfrm>
        <a:prstGeom prst="ellips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314ADDA-9F41-4BA4-AF5B-6FFEC557BB0F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3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28</xdr:col>
      <xdr:colOff>428625</xdr:colOff>
      <xdr:row>9</xdr:row>
      <xdr:rowOff>57150</xdr:rowOff>
    </xdr:from>
    <xdr:to>
      <xdr:col>30</xdr:col>
      <xdr:colOff>152399</xdr:colOff>
      <xdr:row>11</xdr:row>
      <xdr:rowOff>19050</xdr:rowOff>
    </xdr:to>
    <xdr:sp macro="" textlink="">
      <xdr:nvSpPr>
        <xdr:cNvPr id="23" name="Fluxograma: Dados Armazenados 22">
          <a:extLst>
            <a:ext uri="{FF2B5EF4-FFF2-40B4-BE49-F238E27FC236}">
              <a16:creationId xmlns:a16="http://schemas.microsoft.com/office/drawing/2014/main" id="{62FEBEC2-8188-482A-9D95-A8A03EA30B8C}"/>
            </a:ext>
          </a:extLst>
        </xdr:cNvPr>
        <xdr:cNvSpPr/>
      </xdr:nvSpPr>
      <xdr:spPr>
        <a:xfrm flipH="1">
          <a:off x="24603075" y="2333625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Acre</a:t>
          </a:r>
          <a:endParaRPr lang="pt-BR" sz="1100" b="1"/>
        </a:p>
      </xdr:txBody>
    </xdr:sp>
    <xdr:clientData/>
  </xdr:twoCellAnchor>
  <xdr:twoCellAnchor>
    <xdr:from>
      <xdr:col>27</xdr:col>
      <xdr:colOff>581025</xdr:colOff>
      <xdr:row>7</xdr:row>
      <xdr:rowOff>47624</xdr:rowOff>
    </xdr:from>
    <xdr:to>
      <xdr:col>29</xdr:col>
      <xdr:colOff>485775</xdr:colOff>
      <xdr:row>8</xdr:row>
      <xdr:rowOff>180975</xdr:rowOff>
    </xdr:to>
    <xdr:sp macro="" textlink="">
      <xdr:nvSpPr>
        <xdr:cNvPr id="41" name="Fluxograma: Terminação 40">
          <a:extLst>
            <a:ext uri="{FF2B5EF4-FFF2-40B4-BE49-F238E27FC236}">
              <a16:creationId xmlns:a16="http://schemas.microsoft.com/office/drawing/2014/main" id="{BCD044AA-B66C-4639-85AB-ABBC2DD6ADBA}"/>
            </a:ext>
          </a:extLst>
        </xdr:cNvPr>
        <xdr:cNvSpPr/>
      </xdr:nvSpPr>
      <xdr:spPr>
        <a:xfrm>
          <a:off x="24145875" y="1847849"/>
          <a:ext cx="1123950" cy="371476"/>
        </a:xfrm>
        <a:prstGeom prst="flowChartTerminator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Norte</a:t>
          </a:r>
          <a:r>
            <a:rPr lang="pt-BR">
              <a:effectLst/>
            </a:rPr>
            <a:t>  </a:t>
          </a:r>
          <a:endParaRPr lang="pt-BR" sz="1100" b="1"/>
        </a:p>
      </xdr:txBody>
    </xdr:sp>
    <xdr:clientData/>
  </xdr:twoCellAnchor>
  <xdr:twoCellAnchor>
    <xdr:from>
      <xdr:col>28</xdr:col>
      <xdr:colOff>409575</xdr:colOff>
      <xdr:row>11</xdr:row>
      <xdr:rowOff>38100</xdr:rowOff>
    </xdr:from>
    <xdr:to>
      <xdr:col>30</xdr:col>
      <xdr:colOff>133349</xdr:colOff>
      <xdr:row>13</xdr:row>
      <xdr:rowOff>0</xdr:rowOff>
    </xdr:to>
    <xdr:sp macro="" textlink="">
      <xdr:nvSpPr>
        <xdr:cNvPr id="42" name="Fluxograma: Dados Armazenados 41">
          <a:extLst>
            <a:ext uri="{FF2B5EF4-FFF2-40B4-BE49-F238E27FC236}">
              <a16:creationId xmlns:a16="http://schemas.microsoft.com/office/drawing/2014/main" id="{7487CD79-FB79-4C1C-8783-B5DEE4835455}"/>
            </a:ext>
          </a:extLst>
        </xdr:cNvPr>
        <xdr:cNvSpPr/>
      </xdr:nvSpPr>
      <xdr:spPr>
        <a:xfrm flipH="1">
          <a:off x="24584025" y="2790825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Amapá</a:t>
          </a:r>
          <a:endParaRPr lang="pt-BR" sz="1100" b="1"/>
        </a:p>
      </xdr:txBody>
    </xdr:sp>
    <xdr:clientData/>
  </xdr:twoCellAnchor>
  <xdr:twoCellAnchor>
    <xdr:from>
      <xdr:col>28</xdr:col>
      <xdr:colOff>190500</xdr:colOff>
      <xdr:row>13</xdr:row>
      <xdr:rowOff>19050</xdr:rowOff>
    </xdr:from>
    <xdr:to>
      <xdr:col>30</xdr:col>
      <xdr:colOff>142874</xdr:colOff>
      <xdr:row>14</xdr:row>
      <xdr:rowOff>219075</xdr:rowOff>
    </xdr:to>
    <xdr:sp macro="" textlink="">
      <xdr:nvSpPr>
        <xdr:cNvPr id="43" name="Fluxograma: Dados Armazenados 42">
          <a:extLst>
            <a:ext uri="{FF2B5EF4-FFF2-40B4-BE49-F238E27FC236}">
              <a16:creationId xmlns:a16="http://schemas.microsoft.com/office/drawing/2014/main" id="{718BE3DC-5CEA-4B1B-9FA2-29DFAC0ECC82}"/>
            </a:ext>
          </a:extLst>
        </xdr:cNvPr>
        <xdr:cNvSpPr/>
      </xdr:nvSpPr>
      <xdr:spPr>
        <a:xfrm flipH="1">
          <a:off x="24364950" y="3248025"/>
          <a:ext cx="1171574" cy="438150"/>
        </a:xfrm>
        <a:prstGeom prst="flowChartOnlineStorag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Amazonas</a:t>
          </a:r>
          <a:endParaRPr lang="pt-BR" sz="1100" b="1"/>
        </a:p>
      </xdr:txBody>
    </xdr:sp>
    <xdr:clientData/>
  </xdr:twoCellAnchor>
  <xdr:twoCellAnchor>
    <xdr:from>
      <xdr:col>28</xdr:col>
      <xdr:colOff>266700</xdr:colOff>
      <xdr:row>16</xdr:row>
      <xdr:rowOff>219075</xdr:rowOff>
    </xdr:from>
    <xdr:to>
      <xdr:col>30</xdr:col>
      <xdr:colOff>152399</xdr:colOff>
      <xdr:row>18</xdr:row>
      <xdr:rowOff>104775</xdr:rowOff>
    </xdr:to>
    <xdr:sp macro="" textlink="">
      <xdr:nvSpPr>
        <xdr:cNvPr id="44" name="Fluxograma: Dados Armazenados 43">
          <a:extLst>
            <a:ext uri="{FF2B5EF4-FFF2-40B4-BE49-F238E27FC236}">
              <a16:creationId xmlns:a16="http://schemas.microsoft.com/office/drawing/2014/main" id="{12469316-0735-43D4-97FA-74D7BCD99ADF}"/>
            </a:ext>
          </a:extLst>
        </xdr:cNvPr>
        <xdr:cNvSpPr/>
      </xdr:nvSpPr>
      <xdr:spPr>
        <a:xfrm flipH="1">
          <a:off x="24441150" y="4171950"/>
          <a:ext cx="1104899" cy="438150"/>
        </a:xfrm>
        <a:prstGeom prst="flowChartOnlineStorag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Rondônia</a:t>
          </a:r>
          <a:endParaRPr lang="pt-BR" sz="1100" b="1"/>
        </a:p>
      </xdr:txBody>
    </xdr:sp>
    <xdr:clientData/>
  </xdr:twoCellAnchor>
  <xdr:twoCellAnchor>
    <xdr:from>
      <xdr:col>28</xdr:col>
      <xdr:colOff>419100</xdr:colOff>
      <xdr:row>15</xdr:row>
      <xdr:rowOff>0</xdr:rowOff>
    </xdr:from>
    <xdr:to>
      <xdr:col>30</xdr:col>
      <xdr:colOff>142874</xdr:colOff>
      <xdr:row>16</xdr:row>
      <xdr:rowOff>190500</xdr:rowOff>
    </xdr:to>
    <xdr:sp macro="" textlink="">
      <xdr:nvSpPr>
        <xdr:cNvPr id="45" name="Fluxograma: Dados Armazenados 44">
          <a:extLst>
            <a:ext uri="{FF2B5EF4-FFF2-40B4-BE49-F238E27FC236}">
              <a16:creationId xmlns:a16="http://schemas.microsoft.com/office/drawing/2014/main" id="{C14ED33F-7F7D-46FC-9A0C-ED1907946825}"/>
            </a:ext>
          </a:extLst>
        </xdr:cNvPr>
        <xdr:cNvSpPr/>
      </xdr:nvSpPr>
      <xdr:spPr>
        <a:xfrm flipH="1">
          <a:off x="24593550" y="3705225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Pará</a:t>
          </a:r>
          <a:endParaRPr lang="pt-BR" sz="1100" b="1"/>
        </a:p>
      </xdr:txBody>
    </xdr:sp>
    <xdr:clientData/>
  </xdr:twoCellAnchor>
  <xdr:twoCellAnchor>
    <xdr:from>
      <xdr:col>28</xdr:col>
      <xdr:colOff>371475</xdr:colOff>
      <xdr:row>18</xdr:row>
      <xdr:rowOff>133350</xdr:rowOff>
    </xdr:from>
    <xdr:to>
      <xdr:col>30</xdr:col>
      <xdr:colOff>161924</xdr:colOff>
      <xdr:row>20</xdr:row>
      <xdr:rowOff>95250</xdr:rowOff>
    </xdr:to>
    <xdr:sp macro="" textlink="">
      <xdr:nvSpPr>
        <xdr:cNvPr id="46" name="Fluxograma: Dados Armazenados 45">
          <a:extLst>
            <a:ext uri="{FF2B5EF4-FFF2-40B4-BE49-F238E27FC236}">
              <a16:creationId xmlns:a16="http://schemas.microsoft.com/office/drawing/2014/main" id="{4930B5CD-AA29-46B6-9B0C-5319A3538595}"/>
            </a:ext>
          </a:extLst>
        </xdr:cNvPr>
        <xdr:cNvSpPr/>
      </xdr:nvSpPr>
      <xdr:spPr>
        <a:xfrm flipH="1">
          <a:off x="24545925" y="4638675"/>
          <a:ext cx="1009649" cy="447675"/>
        </a:xfrm>
        <a:prstGeom prst="flowChartOnlineStorag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Roraima</a:t>
          </a:r>
          <a:r>
            <a:rPr lang="pt-BR">
              <a:effectLst/>
            </a:rPr>
            <a:t> </a:t>
          </a:r>
          <a:endParaRPr lang="pt-BR" sz="1100" b="1"/>
        </a:p>
      </xdr:txBody>
    </xdr:sp>
    <xdr:clientData/>
  </xdr:twoCellAnchor>
  <xdr:twoCellAnchor>
    <xdr:from>
      <xdr:col>28</xdr:col>
      <xdr:colOff>238125</xdr:colOff>
      <xdr:row>20</xdr:row>
      <xdr:rowOff>123825</xdr:rowOff>
    </xdr:from>
    <xdr:to>
      <xdr:col>30</xdr:col>
      <xdr:colOff>142874</xdr:colOff>
      <xdr:row>22</xdr:row>
      <xdr:rowOff>85725</xdr:rowOff>
    </xdr:to>
    <xdr:sp macro="" textlink="">
      <xdr:nvSpPr>
        <xdr:cNvPr id="47" name="Fluxograma: Dados Armazenados 46">
          <a:extLst>
            <a:ext uri="{FF2B5EF4-FFF2-40B4-BE49-F238E27FC236}">
              <a16:creationId xmlns:a16="http://schemas.microsoft.com/office/drawing/2014/main" id="{E377526D-9AD6-43C7-A696-ED2E292ADA21}"/>
            </a:ext>
          </a:extLst>
        </xdr:cNvPr>
        <xdr:cNvSpPr/>
      </xdr:nvSpPr>
      <xdr:spPr>
        <a:xfrm flipH="1">
          <a:off x="24412575" y="5114925"/>
          <a:ext cx="1123949" cy="438150"/>
        </a:xfrm>
        <a:prstGeom prst="flowChartOnlineStorag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Tocantins</a:t>
          </a:r>
          <a:r>
            <a:rPr lang="pt-BR">
              <a:effectLst/>
            </a:rPr>
            <a:t> </a:t>
          </a:r>
          <a:endParaRPr lang="pt-BR" sz="1100" b="1"/>
        </a:p>
      </xdr:txBody>
    </xdr:sp>
    <xdr:clientData/>
  </xdr:twoCellAnchor>
  <xdr:twoCellAnchor>
    <xdr:from>
      <xdr:col>27</xdr:col>
      <xdr:colOff>457200</xdr:colOff>
      <xdr:row>11</xdr:row>
      <xdr:rowOff>28575</xdr:rowOff>
    </xdr:from>
    <xdr:to>
      <xdr:col>28</xdr:col>
      <xdr:colOff>514350</xdr:colOff>
      <xdr:row>12</xdr:row>
      <xdr:rowOff>228600</xdr:rowOff>
    </xdr:to>
    <xdr:sp macro="" textlink="$G$19">
      <xdr:nvSpPr>
        <xdr:cNvPr id="48" name="Elipse 47">
          <a:extLst>
            <a:ext uri="{FF2B5EF4-FFF2-40B4-BE49-F238E27FC236}">
              <a16:creationId xmlns:a16="http://schemas.microsoft.com/office/drawing/2014/main" id="{0171C3C7-D4EE-459B-BCCB-D54707CAC591}"/>
            </a:ext>
          </a:extLst>
        </xdr:cNvPr>
        <xdr:cNvSpPr/>
      </xdr:nvSpPr>
      <xdr:spPr>
        <a:xfrm>
          <a:off x="24022050" y="2781300"/>
          <a:ext cx="666750" cy="438150"/>
        </a:xfrm>
        <a:prstGeom prst="ellips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C7D2B80-5AEF-44D0-BDC0-AC1347193AB2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30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266700</xdr:colOff>
      <xdr:row>13</xdr:row>
      <xdr:rowOff>19050</xdr:rowOff>
    </xdr:from>
    <xdr:to>
      <xdr:col>28</xdr:col>
      <xdr:colOff>323850</xdr:colOff>
      <xdr:row>14</xdr:row>
      <xdr:rowOff>219075</xdr:rowOff>
    </xdr:to>
    <xdr:sp macro="" textlink="$G$20">
      <xdr:nvSpPr>
        <xdr:cNvPr id="49" name="Elipse 48">
          <a:extLst>
            <a:ext uri="{FF2B5EF4-FFF2-40B4-BE49-F238E27FC236}">
              <a16:creationId xmlns:a16="http://schemas.microsoft.com/office/drawing/2014/main" id="{EEB59C10-D837-4EA3-AB5C-89A9F05F8633}"/>
            </a:ext>
          </a:extLst>
        </xdr:cNvPr>
        <xdr:cNvSpPr/>
      </xdr:nvSpPr>
      <xdr:spPr>
        <a:xfrm>
          <a:off x="23831550" y="3248025"/>
          <a:ext cx="666750" cy="438150"/>
        </a:xfrm>
        <a:prstGeom prst="ellips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3B21D55-DC42-49BE-AF7A-3422C2BE4A73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137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419100</xdr:colOff>
      <xdr:row>14</xdr:row>
      <xdr:rowOff>228600</xdr:rowOff>
    </xdr:from>
    <xdr:to>
      <xdr:col>28</xdr:col>
      <xdr:colOff>533400</xdr:colOff>
      <xdr:row>16</xdr:row>
      <xdr:rowOff>180975</xdr:rowOff>
    </xdr:to>
    <xdr:sp macro="" textlink="$G$21">
      <xdr:nvSpPr>
        <xdr:cNvPr id="50" name="Elipse 49">
          <a:extLst>
            <a:ext uri="{FF2B5EF4-FFF2-40B4-BE49-F238E27FC236}">
              <a16:creationId xmlns:a16="http://schemas.microsoft.com/office/drawing/2014/main" id="{CE5FB8E2-44A3-4F02-9A06-ABE0A6B9EE18}"/>
            </a:ext>
          </a:extLst>
        </xdr:cNvPr>
        <xdr:cNvSpPr/>
      </xdr:nvSpPr>
      <xdr:spPr>
        <a:xfrm>
          <a:off x="23983950" y="3695700"/>
          <a:ext cx="723900" cy="438150"/>
        </a:xfrm>
        <a:prstGeom prst="ellips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B8B805D-6723-44CA-B1B4-F1C4A3902382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3.535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333375</xdr:colOff>
      <xdr:row>16</xdr:row>
      <xdr:rowOff>219075</xdr:rowOff>
    </xdr:from>
    <xdr:to>
      <xdr:col>28</xdr:col>
      <xdr:colOff>390525</xdr:colOff>
      <xdr:row>18</xdr:row>
      <xdr:rowOff>104775</xdr:rowOff>
    </xdr:to>
    <xdr:sp macro="" textlink="$G$22">
      <xdr:nvSpPr>
        <xdr:cNvPr id="51" name="Elipse 50">
          <a:extLst>
            <a:ext uri="{FF2B5EF4-FFF2-40B4-BE49-F238E27FC236}">
              <a16:creationId xmlns:a16="http://schemas.microsoft.com/office/drawing/2014/main" id="{097DAFEF-8775-46F3-96AF-B0589F9495BB}"/>
            </a:ext>
          </a:extLst>
        </xdr:cNvPr>
        <xdr:cNvSpPr/>
      </xdr:nvSpPr>
      <xdr:spPr>
        <a:xfrm>
          <a:off x="23898225" y="4171950"/>
          <a:ext cx="666750" cy="438150"/>
        </a:xfrm>
        <a:prstGeom prst="ellips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515896A-3B55-42C9-9C96-DD0206D3733F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87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428625</xdr:colOff>
      <xdr:row>18</xdr:row>
      <xdr:rowOff>133350</xdr:rowOff>
    </xdr:from>
    <xdr:to>
      <xdr:col>28</xdr:col>
      <xdr:colOff>485775</xdr:colOff>
      <xdr:row>20</xdr:row>
      <xdr:rowOff>95250</xdr:rowOff>
    </xdr:to>
    <xdr:sp macro="" textlink="$G$23">
      <xdr:nvSpPr>
        <xdr:cNvPr id="52" name="Elipse 51">
          <a:extLst>
            <a:ext uri="{FF2B5EF4-FFF2-40B4-BE49-F238E27FC236}">
              <a16:creationId xmlns:a16="http://schemas.microsoft.com/office/drawing/2014/main" id="{0F407886-9BA7-4C14-ADBA-217C02F4916C}"/>
            </a:ext>
          </a:extLst>
        </xdr:cNvPr>
        <xdr:cNvSpPr/>
      </xdr:nvSpPr>
      <xdr:spPr>
        <a:xfrm>
          <a:off x="23993475" y="4638675"/>
          <a:ext cx="666750" cy="447675"/>
        </a:xfrm>
        <a:prstGeom prst="ellips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05D0705-CC20-4AC4-B064-3D07782B05A0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32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314325</xdr:colOff>
      <xdr:row>20</xdr:row>
      <xdr:rowOff>123825</xdr:rowOff>
    </xdr:from>
    <xdr:to>
      <xdr:col>28</xdr:col>
      <xdr:colOff>371475</xdr:colOff>
      <xdr:row>22</xdr:row>
      <xdr:rowOff>85725</xdr:rowOff>
    </xdr:to>
    <xdr:sp macro="" textlink="$G$24">
      <xdr:nvSpPr>
        <xdr:cNvPr id="53" name="Elipse 52">
          <a:extLst>
            <a:ext uri="{FF2B5EF4-FFF2-40B4-BE49-F238E27FC236}">
              <a16:creationId xmlns:a16="http://schemas.microsoft.com/office/drawing/2014/main" id="{CD8A5359-CAFD-46C6-BE8C-26D03936FE98}"/>
            </a:ext>
          </a:extLst>
        </xdr:cNvPr>
        <xdr:cNvSpPr/>
      </xdr:nvSpPr>
      <xdr:spPr>
        <a:xfrm>
          <a:off x="23879175" y="5114925"/>
          <a:ext cx="666750" cy="438150"/>
        </a:xfrm>
        <a:prstGeom prst="ellipse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158181B-61B6-4FC9-9933-6CB8809546C1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780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28</xdr:col>
      <xdr:colOff>19050</xdr:colOff>
      <xdr:row>22</xdr:row>
      <xdr:rowOff>209549</xdr:rowOff>
    </xdr:from>
    <xdr:to>
      <xdr:col>29</xdr:col>
      <xdr:colOff>533400</xdr:colOff>
      <xdr:row>24</xdr:row>
      <xdr:rowOff>95250</xdr:rowOff>
    </xdr:to>
    <xdr:sp macro="" textlink="">
      <xdr:nvSpPr>
        <xdr:cNvPr id="54" name="Fluxograma: Terminação 53">
          <a:extLst>
            <a:ext uri="{FF2B5EF4-FFF2-40B4-BE49-F238E27FC236}">
              <a16:creationId xmlns:a16="http://schemas.microsoft.com/office/drawing/2014/main" id="{B098B80D-5C8F-4D28-8EDE-9880A7942889}"/>
            </a:ext>
          </a:extLst>
        </xdr:cNvPr>
        <xdr:cNvSpPr/>
      </xdr:nvSpPr>
      <xdr:spPr>
        <a:xfrm>
          <a:off x="24193500" y="5667374"/>
          <a:ext cx="1123950" cy="371476"/>
        </a:xfrm>
        <a:prstGeom prst="flowChartTerminator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Sudeste</a:t>
          </a:r>
          <a:r>
            <a:rPr lang="pt-BR">
              <a:effectLst/>
            </a:rPr>
            <a:t>  </a:t>
          </a:r>
          <a:endParaRPr lang="pt-BR" sz="1100" b="1"/>
        </a:p>
      </xdr:txBody>
    </xdr:sp>
    <xdr:clientData/>
  </xdr:twoCellAnchor>
  <xdr:twoCellAnchor>
    <xdr:from>
      <xdr:col>28</xdr:col>
      <xdr:colOff>428625</xdr:colOff>
      <xdr:row>26</xdr:row>
      <xdr:rowOff>19050</xdr:rowOff>
    </xdr:from>
    <xdr:to>
      <xdr:col>30</xdr:col>
      <xdr:colOff>152399</xdr:colOff>
      <xdr:row>27</xdr:row>
      <xdr:rowOff>219075</xdr:rowOff>
    </xdr:to>
    <xdr:sp macro="" textlink="">
      <xdr:nvSpPr>
        <xdr:cNvPr id="58" name="Fluxograma: Dados Armazenados 57">
          <a:extLst>
            <a:ext uri="{FF2B5EF4-FFF2-40B4-BE49-F238E27FC236}">
              <a16:creationId xmlns:a16="http://schemas.microsoft.com/office/drawing/2014/main" id="{4F4BB1D0-8E0C-4011-B6BB-80864CFA79F1}"/>
            </a:ext>
          </a:extLst>
        </xdr:cNvPr>
        <xdr:cNvSpPr/>
      </xdr:nvSpPr>
      <xdr:spPr>
        <a:xfrm flipH="1">
          <a:off x="24603075" y="6515100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Minas Gerais</a:t>
          </a:r>
          <a:endParaRPr lang="pt-BR" sz="1100" b="1"/>
        </a:p>
      </xdr:txBody>
    </xdr:sp>
    <xdr:clientData/>
  </xdr:twoCellAnchor>
  <xdr:twoCellAnchor>
    <xdr:from>
      <xdr:col>28</xdr:col>
      <xdr:colOff>447675</xdr:colOff>
      <xdr:row>28</xdr:row>
      <xdr:rowOff>9525</xdr:rowOff>
    </xdr:from>
    <xdr:to>
      <xdr:col>30</xdr:col>
      <xdr:colOff>171449</xdr:colOff>
      <xdr:row>29</xdr:row>
      <xdr:rowOff>200025</xdr:rowOff>
    </xdr:to>
    <xdr:sp macro="" textlink="">
      <xdr:nvSpPr>
        <xdr:cNvPr id="60" name="Fluxograma: Dados Armazenados 59">
          <a:extLst>
            <a:ext uri="{FF2B5EF4-FFF2-40B4-BE49-F238E27FC236}">
              <a16:creationId xmlns:a16="http://schemas.microsoft.com/office/drawing/2014/main" id="{878430D1-C0D3-4CED-A325-C253F945151C}"/>
            </a:ext>
          </a:extLst>
        </xdr:cNvPr>
        <xdr:cNvSpPr/>
      </xdr:nvSpPr>
      <xdr:spPr>
        <a:xfrm flipH="1">
          <a:off x="24622125" y="6981825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Rio de Janeiro</a:t>
          </a:r>
          <a:endParaRPr lang="pt-BR" sz="1100" b="1"/>
        </a:p>
      </xdr:txBody>
    </xdr:sp>
    <xdr:clientData/>
  </xdr:twoCellAnchor>
  <xdr:twoCellAnchor>
    <xdr:from>
      <xdr:col>27</xdr:col>
      <xdr:colOff>447675</xdr:colOff>
      <xdr:row>24</xdr:row>
      <xdr:rowOff>123825</xdr:rowOff>
    </xdr:from>
    <xdr:to>
      <xdr:col>28</xdr:col>
      <xdr:colOff>504825</xdr:colOff>
      <xdr:row>26</xdr:row>
      <xdr:rowOff>9525</xdr:rowOff>
    </xdr:to>
    <xdr:sp macro="" textlink="$G$26">
      <xdr:nvSpPr>
        <xdr:cNvPr id="63" name="Elipse 62">
          <a:extLst>
            <a:ext uri="{FF2B5EF4-FFF2-40B4-BE49-F238E27FC236}">
              <a16:creationId xmlns:a16="http://schemas.microsoft.com/office/drawing/2014/main" id="{4A8F2019-311F-0405-9F65-618DA73D24A1}"/>
            </a:ext>
          </a:extLst>
        </xdr:cNvPr>
        <xdr:cNvSpPr/>
      </xdr:nvSpPr>
      <xdr:spPr>
        <a:xfrm>
          <a:off x="24012525" y="6067425"/>
          <a:ext cx="666750" cy="438150"/>
        </a:xfrm>
        <a:prstGeom prst="ellipse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D71D330-756E-4E8F-ADAA-CA4DF1537C56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333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28</xdr:col>
      <xdr:colOff>409575</xdr:colOff>
      <xdr:row>24</xdr:row>
      <xdr:rowOff>123825</xdr:rowOff>
    </xdr:from>
    <xdr:to>
      <xdr:col>30</xdr:col>
      <xdr:colOff>133349</xdr:colOff>
      <xdr:row>26</xdr:row>
      <xdr:rowOff>9525</xdr:rowOff>
    </xdr:to>
    <xdr:sp macro="" textlink="">
      <xdr:nvSpPr>
        <xdr:cNvPr id="64" name="Fluxograma: Dados Armazenados 63">
          <a:extLst>
            <a:ext uri="{FF2B5EF4-FFF2-40B4-BE49-F238E27FC236}">
              <a16:creationId xmlns:a16="http://schemas.microsoft.com/office/drawing/2014/main" id="{38EA2268-71B5-D497-FA2C-1F426982A363}"/>
            </a:ext>
          </a:extLst>
        </xdr:cNvPr>
        <xdr:cNvSpPr/>
      </xdr:nvSpPr>
      <xdr:spPr>
        <a:xfrm flipH="1">
          <a:off x="24584025" y="6067425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Espírito Santo</a:t>
          </a:r>
          <a:endParaRPr lang="pt-BR" sz="1100" b="1"/>
        </a:p>
      </xdr:txBody>
    </xdr:sp>
    <xdr:clientData/>
  </xdr:twoCellAnchor>
  <xdr:twoCellAnchor>
    <xdr:from>
      <xdr:col>27</xdr:col>
      <xdr:colOff>466725</xdr:colOff>
      <xdr:row>26</xdr:row>
      <xdr:rowOff>19050</xdr:rowOff>
    </xdr:from>
    <xdr:to>
      <xdr:col>28</xdr:col>
      <xdr:colOff>523875</xdr:colOff>
      <xdr:row>27</xdr:row>
      <xdr:rowOff>219075</xdr:rowOff>
    </xdr:to>
    <xdr:sp macro="" textlink="$G$27">
      <xdr:nvSpPr>
        <xdr:cNvPr id="65" name="Elipse 64">
          <a:extLst>
            <a:ext uri="{FF2B5EF4-FFF2-40B4-BE49-F238E27FC236}">
              <a16:creationId xmlns:a16="http://schemas.microsoft.com/office/drawing/2014/main" id="{E6EE0666-6385-97E6-8170-F173AB8175F7}"/>
            </a:ext>
          </a:extLst>
        </xdr:cNvPr>
        <xdr:cNvSpPr/>
      </xdr:nvSpPr>
      <xdr:spPr>
        <a:xfrm>
          <a:off x="24031575" y="6515100"/>
          <a:ext cx="666750" cy="438150"/>
        </a:xfrm>
        <a:prstGeom prst="ellipse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432C219-B84A-4DB1-8F3A-E1F9AFACCC23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256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457200</xdr:colOff>
      <xdr:row>28</xdr:row>
      <xdr:rowOff>19050</xdr:rowOff>
    </xdr:from>
    <xdr:to>
      <xdr:col>28</xdr:col>
      <xdr:colOff>571500</xdr:colOff>
      <xdr:row>29</xdr:row>
      <xdr:rowOff>209550</xdr:rowOff>
    </xdr:to>
    <xdr:sp macro="" textlink="$G$28">
      <xdr:nvSpPr>
        <xdr:cNvPr id="66" name="Elipse 65">
          <a:extLst>
            <a:ext uri="{FF2B5EF4-FFF2-40B4-BE49-F238E27FC236}">
              <a16:creationId xmlns:a16="http://schemas.microsoft.com/office/drawing/2014/main" id="{78465B6C-91C3-E780-C105-7E7D2F12F07E}"/>
            </a:ext>
          </a:extLst>
        </xdr:cNvPr>
        <xdr:cNvSpPr/>
      </xdr:nvSpPr>
      <xdr:spPr>
        <a:xfrm>
          <a:off x="24022050" y="6991350"/>
          <a:ext cx="723900" cy="438150"/>
        </a:xfrm>
        <a:prstGeom prst="ellipse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D70942A-39E7-4236-A888-9AFDFF67CEF3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1.410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447675</xdr:colOff>
      <xdr:row>29</xdr:row>
      <xdr:rowOff>238125</xdr:rowOff>
    </xdr:from>
    <xdr:to>
      <xdr:col>28</xdr:col>
      <xdr:colOff>552450</xdr:colOff>
      <xdr:row>31</xdr:row>
      <xdr:rowOff>123825</xdr:rowOff>
    </xdr:to>
    <xdr:sp macro="" textlink="$G$29">
      <xdr:nvSpPr>
        <xdr:cNvPr id="67" name="Elipse 66">
          <a:extLst>
            <a:ext uri="{FF2B5EF4-FFF2-40B4-BE49-F238E27FC236}">
              <a16:creationId xmlns:a16="http://schemas.microsoft.com/office/drawing/2014/main" id="{85E0A464-E4D9-6DE6-9B70-DB43B1B84B20}"/>
            </a:ext>
          </a:extLst>
        </xdr:cNvPr>
        <xdr:cNvSpPr/>
      </xdr:nvSpPr>
      <xdr:spPr>
        <a:xfrm>
          <a:off x="24012525" y="7458075"/>
          <a:ext cx="714375" cy="438150"/>
        </a:xfrm>
        <a:prstGeom prst="ellipse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330CB39-DA2E-40AC-A290-DDAD4CB80909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 algn="ctr"/>
            <a:t>393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28</xdr:col>
      <xdr:colOff>438150</xdr:colOff>
      <xdr:row>29</xdr:row>
      <xdr:rowOff>238125</xdr:rowOff>
    </xdr:from>
    <xdr:to>
      <xdr:col>30</xdr:col>
      <xdr:colOff>161924</xdr:colOff>
      <xdr:row>31</xdr:row>
      <xdr:rowOff>123825</xdr:rowOff>
    </xdr:to>
    <xdr:sp macro="" textlink="">
      <xdr:nvSpPr>
        <xdr:cNvPr id="68" name="Fluxograma: Dados Armazenados 67">
          <a:extLst>
            <a:ext uri="{FF2B5EF4-FFF2-40B4-BE49-F238E27FC236}">
              <a16:creationId xmlns:a16="http://schemas.microsoft.com/office/drawing/2014/main" id="{D0CEEF1F-81B1-4011-5D0C-80575163DCF3}"/>
            </a:ext>
          </a:extLst>
        </xdr:cNvPr>
        <xdr:cNvSpPr/>
      </xdr:nvSpPr>
      <xdr:spPr>
        <a:xfrm flipH="1">
          <a:off x="24612600" y="7458075"/>
          <a:ext cx="942974" cy="438150"/>
        </a:xfrm>
        <a:prstGeom prst="flowChartOnlineStorage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São Paulo</a:t>
          </a:r>
          <a:endParaRPr lang="pt-BR" sz="1100" b="1"/>
        </a:p>
      </xdr:txBody>
    </xdr:sp>
    <xdr:clientData/>
  </xdr:twoCellAnchor>
  <xdr:twoCellAnchor>
    <xdr:from>
      <xdr:col>27</xdr:col>
      <xdr:colOff>581025</xdr:colOff>
      <xdr:row>32</xdr:row>
      <xdr:rowOff>104775</xdr:rowOff>
    </xdr:from>
    <xdr:to>
      <xdr:col>30</xdr:col>
      <xdr:colOff>152399</xdr:colOff>
      <xdr:row>34</xdr:row>
      <xdr:rowOff>0</xdr:rowOff>
    </xdr:to>
    <xdr:sp macro="" textlink="">
      <xdr:nvSpPr>
        <xdr:cNvPr id="69" name="Fluxograma: Dados Armazenados 68">
          <a:extLst>
            <a:ext uri="{FF2B5EF4-FFF2-40B4-BE49-F238E27FC236}">
              <a16:creationId xmlns:a16="http://schemas.microsoft.com/office/drawing/2014/main" id="{A8C830AA-3EA6-4AE8-9EC6-06BF44F91B20}"/>
            </a:ext>
          </a:extLst>
        </xdr:cNvPr>
        <xdr:cNvSpPr/>
      </xdr:nvSpPr>
      <xdr:spPr>
        <a:xfrm flipH="1">
          <a:off x="24145875" y="8115300"/>
          <a:ext cx="1400174" cy="457200"/>
        </a:xfrm>
        <a:prstGeom prst="flowChartOnlineStorage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Estrangeiros</a:t>
          </a:r>
          <a:endParaRPr lang="pt-BR" sz="1100" b="1"/>
        </a:p>
      </xdr:txBody>
    </xdr:sp>
    <xdr:clientData/>
  </xdr:twoCellAnchor>
  <xdr:twoCellAnchor>
    <xdr:from>
      <xdr:col>27</xdr:col>
      <xdr:colOff>76200</xdr:colOff>
      <xdr:row>32</xdr:row>
      <xdr:rowOff>104775</xdr:rowOff>
    </xdr:from>
    <xdr:to>
      <xdr:col>28</xdr:col>
      <xdr:colOff>133350</xdr:colOff>
      <xdr:row>33</xdr:row>
      <xdr:rowOff>295275</xdr:rowOff>
    </xdr:to>
    <xdr:sp macro="" textlink="$G$35">
      <xdr:nvSpPr>
        <xdr:cNvPr id="70" name="Elipse 69">
          <a:extLst>
            <a:ext uri="{FF2B5EF4-FFF2-40B4-BE49-F238E27FC236}">
              <a16:creationId xmlns:a16="http://schemas.microsoft.com/office/drawing/2014/main" id="{A8090C59-5EF7-4A15-9A52-0C2A33FB8077}"/>
            </a:ext>
          </a:extLst>
        </xdr:cNvPr>
        <xdr:cNvSpPr/>
      </xdr:nvSpPr>
      <xdr:spPr>
        <a:xfrm>
          <a:off x="23641050" y="8115300"/>
          <a:ext cx="666750" cy="438150"/>
        </a:xfrm>
        <a:prstGeom prst="ellipse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3B15E59-3D03-4A0D-84BE-80E350908758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pPr algn="ctr"/>
            <a:t>34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428623</xdr:colOff>
      <xdr:row>3</xdr:row>
      <xdr:rowOff>47625</xdr:rowOff>
    </xdr:from>
    <xdr:to>
      <xdr:col>27</xdr:col>
      <xdr:colOff>476248</xdr:colOff>
      <xdr:row>5</xdr:row>
      <xdr:rowOff>219075</xdr:rowOff>
    </xdr:to>
    <xdr:sp macro="" textlink="">
      <xdr:nvSpPr>
        <xdr:cNvPr id="57" name="Fluxograma: Dados Armazenados 56">
          <a:extLst>
            <a:ext uri="{FF2B5EF4-FFF2-40B4-BE49-F238E27FC236}">
              <a16:creationId xmlns:a16="http://schemas.microsoft.com/office/drawing/2014/main" id="{52AC672E-35A9-46E3-8673-93DE2BD04775}"/>
            </a:ext>
          </a:extLst>
        </xdr:cNvPr>
        <xdr:cNvSpPr/>
      </xdr:nvSpPr>
      <xdr:spPr>
        <a:xfrm flipH="1">
          <a:off x="21555073" y="809625"/>
          <a:ext cx="2486025" cy="647700"/>
        </a:xfrm>
        <a:prstGeom prst="flowChartOnlineStorage">
          <a:avLst/>
        </a:prstGeom>
        <a:ln>
          <a:noFill/>
        </a:ln>
      </xdr:spPr>
      <xdr:style>
        <a:lnRef idx="0">
          <a:scrgbClr r="0" g="0" b="0"/>
        </a:lnRef>
        <a:fillRef idx="1003">
          <a:schemeClr val="dk2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Total Geral 2023 a 2026</a:t>
          </a:r>
          <a:endParaRPr lang="pt-BR" sz="1100" b="1"/>
        </a:p>
      </xdr:txBody>
    </xdr:sp>
    <xdr:clientData/>
  </xdr:twoCellAnchor>
  <xdr:twoCellAnchor>
    <xdr:from>
      <xdr:col>22</xdr:col>
      <xdr:colOff>219075</xdr:colOff>
      <xdr:row>3</xdr:row>
      <xdr:rowOff>76200</xdr:rowOff>
    </xdr:from>
    <xdr:to>
      <xdr:col>24</xdr:col>
      <xdr:colOff>171450</xdr:colOff>
      <xdr:row>5</xdr:row>
      <xdr:rowOff>209550</xdr:rowOff>
    </xdr:to>
    <xdr:sp macro="" textlink="$G$36">
      <xdr:nvSpPr>
        <xdr:cNvPr id="59" name="Elipse 58">
          <a:extLst>
            <a:ext uri="{FF2B5EF4-FFF2-40B4-BE49-F238E27FC236}">
              <a16:creationId xmlns:a16="http://schemas.microsoft.com/office/drawing/2014/main" id="{367B79D5-FC05-4740-8F68-FA4C6F1866F4}"/>
            </a:ext>
          </a:extLst>
        </xdr:cNvPr>
        <xdr:cNvSpPr/>
      </xdr:nvSpPr>
      <xdr:spPr>
        <a:xfrm>
          <a:off x="20735925" y="838200"/>
          <a:ext cx="1171575" cy="609600"/>
        </a:xfrm>
        <a:prstGeom prst="ellipse">
          <a:avLst/>
        </a:prstGeom>
        <a:ln>
          <a:noFill/>
        </a:ln>
      </xdr:spPr>
      <xdr:style>
        <a:lnRef idx="0">
          <a:scrgbClr r="0" g="0" b="0"/>
        </a:lnRef>
        <a:fillRef idx="1003">
          <a:schemeClr val="dk2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9C71AAD-01D3-445B-85AA-81FAD5D28373}" type="TxLink">
            <a:rPr lang="en-US" sz="1400" b="1" i="0" u="none" strike="noStrike">
              <a:solidFill>
                <a:srgbClr val="FFFFFF"/>
              </a:solidFill>
              <a:latin typeface="Aptos Narrow"/>
            </a:rPr>
            <a:pPr algn="ctr"/>
            <a:t>18.611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naldy Luiz Ferreira dos Santos" refreshedDate="46184.417952662036" backgroundQuery="1" createdVersion="8" refreshedVersion="8" minRefreshableVersion="3" recordCount="0" supportSubquery="1" supportAdvancedDrill="1" xr:uid="{C5BA7E62-7D8D-4DD0-8E6E-6D0DC2879B20}">
  <cacheSource type="external" connectionId="1"/>
  <cacheFields count="3">
    <cacheField name="[Intervalo].[Região].[Região]" caption="Região" numFmtId="0" level="1">
      <sharedItems count="6">
        <s v="Centro-Oeste"/>
        <s v="Estrangeiros"/>
        <s v="Nordeste"/>
        <s v="Norte"/>
        <s v="Sudeste"/>
        <s v="Sul"/>
      </sharedItems>
    </cacheField>
    <cacheField name="[Measures].[Soma de TOTAL GERAL 2025]" caption="Soma de TOTAL GERAL 2025" numFmtId="0" hierarchy="25" level="32767"/>
    <cacheField name="[Measures].[Soma de TOTAL GERAL 2026]" caption="Soma de TOTAL GERAL 2026" numFmtId="0" hierarchy="26" level="32767"/>
  </cacheFields>
  <cacheHierarchies count="33">
    <cacheHierarchy uniqueName="[Intervalo].[Região]" caption="Região" attribute="1" defaultMemberUniqueName="[Intervalo].[Região].[All]" allUniqueName="[Intervalo].[Região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Estado]" caption="Estado" attribute="1" defaultMemberUniqueName="[Intervalo].[Estado].[All]" allUniqueName="[Intervalo].[Estado].[All]" dimensionUniqueName="[Intervalo]" displayFolder="" count="0" memberValueDatatype="130" unbalanced="0"/>
    <cacheHierarchy uniqueName="[Intervalo].[TOTAL GERAL 2023]" caption="TOTAL GERAL 2023" attribute="1" defaultMemberUniqueName="[Intervalo].[TOTAL GERAL 2023].[All]" allUniqueName="[Intervalo].[TOTAL GERAL 2023].[All]" dimensionUniqueName="[Intervalo]" displayFolder="" count="0" memberValueDatatype="20" unbalanced="0"/>
    <cacheHierarchy uniqueName="[Intervalo].[TOTAL GERAL 2024]" caption="TOTAL GERAL 2024" attribute="1" defaultMemberUniqueName="[Intervalo].[TOTAL GERAL 2024].[All]" allUniqueName="[Intervalo].[TOTAL GERAL 2024].[All]" dimensionUniqueName="[Intervalo]" displayFolder="" count="0" memberValueDatatype="20" unbalanced="0"/>
    <cacheHierarchy uniqueName="[Intervalo].[TOTAL GERAL 2025]" caption="TOTAL GERAL 2025" attribute="1" defaultMemberUniqueName="[Intervalo].[TOTAL GERAL 2025].[All]" allUniqueName="[Intervalo].[TOTAL GERAL 2025].[All]" dimensionUniqueName="[Intervalo]" displayFolder="" count="0" memberValueDatatype="20" unbalanced="0"/>
    <cacheHierarchy uniqueName="[Intervalo].[TOTAL GERAL 2026]" caption="TOTAL GERAL 2026" attribute="1" defaultMemberUniqueName="[Intervalo].[TOTAL GERAL 2026].[All]" allUniqueName="[Intervalo].[TOTAL GERAL 2026].[All]" dimensionUniqueName="[Intervalo]" displayFolder="" count="0" memberValueDatatype="20" unbalanced="0"/>
    <cacheHierarchy uniqueName="[Intervalo].[TOTAL GERAL DE 2023 A 2026]" caption="TOTAL GERAL DE 2023 A 2026" attribute="1" defaultMemberUniqueName="[Intervalo].[TOTAL GERAL DE 2023 A 2026].[All]" allUniqueName="[Intervalo].[TOTAL GERAL DE 2023 A 2026].[All]" dimensionUniqueName="[Intervalo]" displayFolder="" count="0" memberValueDatatype="20" unbalanced="0"/>
    <cacheHierarchy uniqueName="[Intervalo 1].[Tipo de Instituição]" caption="Tipo de Instituição" attribute="1" defaultMemberUniqueName="[Intervalo 1].[Tipo de Instituição].[All]" allUniqueName="[Intervalo 1].[Tipo de Instituição].[All]" dimensionUniqueName="[Intervalo 1]" displayFolder="" count="0" memberValueDatatype="130" unbalanced="0"/>
    <cacheHierarchy uniqueName="[Intervalo 1].[Instituições Parceiras]" caption="Instituições Parceiras" attribute="1" defaultMemberUniqueName="[Intervalo 1].[Instituições Parceiras].[All]" allUniqueName="[Intervalo 1].[Instituições Parceiras].[All]" dimensionUniqueName="[Intervalo 1]" displayFolder="" count="0" memberValueDatatype="130" unbalanced="0"/>
    <cacheHierarchy uniqueName="[Intervalo 1].[Ano]" caption="Ano" attribute="1" defaultMemberUniqueName="[Intervalo 1].[Ano].[All]" allUniqueName="[Intervalo 1].[Ano].[All]" dimensionUniqueName="[Intervalo 1]" displayFolder="" count="0" memberValueDatatype="20" unbalanced="0"/>
    <cacheHierarchy uniqueName="[Intervalo 1].[Instrumento]" caption="Instrumento" attribute="1" defaultMemberUniqueName="[Intervalo 1].[Instrumento].[All]" allUniqueName="[Intervalo 1].[Instrumento].[All]" dimensionUniqueName="[Intervalo 1]" displayFolder="" count="0" memberValueDatatype="130" unbalanced="0"/>
    <cacheHierarchy uniqueName="[Intervalo 1].[Nº SEI]" caption="Nº SEI" attribute="1" defaultMemberUniqueName="[Intervalo 1].[Nº SEI].[All]" allUniqueName="[Intervalo 1].[Nº SEI].[All]" dimensionUniqueName="[Intervalo 1]" displayFolder="" count="0" memberValueDatatype="130" unbalanced="0"/>
    <cacheHierarchy uniqueName="[Intervalo 1].[Fonte de Recurso]" caption="Fonte de Recurso" attribute="1" defaultMemberUniqueName="[Intervalo 1].[Fonte de Recurso].[All]" allUniqueName="[Intervalo 1].[Fonte de Recurso].[All]" dimensionUniqueName="[Intervalo 1]" displayFolder="" count="0" memberValueDatatype="130" unbalanced="0"/>
    <cacheHierarchy uniqueName="[Intervalo 1].[Região]" caption="Região" attribute="1" defaultMemberUniqueName="[Intervalo 1].[Região].[All]" allUniqueName="[Intervalo 1].[Região].[All]" dimensionUniqueName="[Intervalo 1]" displayFolder="" count="0" memberValueDatatype="130" unbalanced="0"/>
    <cacheHierarchy uniqueName="[Intervalo 1].[UF]" caption="UF" attribute="1" defaultMemberUniqueName="[Intervalo 1].[UF].[All]" allUniqueName="[Intervalo 1].[UF].[All]" dimensionUniqueName="[Intervalo 1]" displayFolder="" count="0" memberValueDatatype="130" unbalanced="0"/>
    <cacheHierarchy uniqueName="[Intervalo 1].[Cidade Sede]" caption="Cidade Sede" attribute="1" defaultMemberUniqueName="[Intervalo 1].[Cidade Sede].[All]" allUniqueName="[Intervalo 1].[Cidade Sede].[All]" dimensionUniqueName="[Intervalo 1]" displayFolder="" count="0" memberValueDatatype="130" unbalanced="0"/>
    <cacheHierarchy uniqueName="[Intervalo 1].[Local de Realização]" caption="Local de Realização" attribute="1" defaultMemberUniqueName="[Intervalo 1].[Local de Realização].[All]" allUniqueName="[Intervalo 1].[Local de Realização].[All]" dimensionUniqueName="[Intervalo 1]" displayFolder="" count="0" memberValueDatatype="130" unbalanced="0"/>
    <cacheHierarchy uniqueName="[Intervalo 1].[Cursos]" caption="Cursos" attribute="1" defaultMemberUniqueName="[Intervalo 1].[Cursos].[All]" allUniqueName="[Intervalo 1].[Cursos].[All]" dimensionUniqueName="[Intervalo 1]" displayFolder="" count="0" memberValueDatatype="20" unbalanced="0"/>
    <cacheHierarchy uniqueName="[Intervalo 1].[Vagas]" caption="Vagas" attribute="1" defaultMemberUniqueName="[Intervalo 1].[Vagas].[All]" allUniqueName="[Intervalo 1].[Vagas].[All]" dimensionUniqueName="[Intervalo 1]" displayFolder="" count="0" memberValueDatatype="20" unbalanced="0"/>
    <cacheHierarchy uniqueName="[Intervalo 1].[Matriculados]" caption="Matriculados" attribute="1" defaultMemberUniqueName="[Intervalo 1].[Matriculados].[All]" allUniqueName="[Intervalo 1].[Matriculados].[All]" dimensionUniqueName="[Intervalo 1]" displayFolder="" count="0" memberValueDatatype="20" unbalanced="0"/>
    <cacheHierarchy uniqueName="[Intervalo 1].[Qualificados]" caption="Qualificados" attribute="1" defaultMemberUniqueName="[Intervalo 1].[Qualificados].[All]" allUniqueName="[Intervalo 1].[Qualificados].[All]" dimensionUniqueName="[Intervalo 1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XL_Count Intervalo 1]" caption="__XL_Count Intervalo 1" measure="1" displayFolder="" measureGroup="Intervalo 1" count="0" hidden="1"/>
    <cacheHierarchy uniqueName="[Measures].[__No measures defined]" caption="__No measures defined" measure="1" displayFolder="" count="0" hidden="1"/>
    <cacheHierarchy uniqueName="[Measures].[Soma de TOTAL GERAL 2024]" caption="Soma de TOTAL GERAL 2024" measure="1" displayFolder="" measureGroup="Interval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TOTAL GERAL 2025]" caption="Soma de TOTAL GERAL 2025" measure="1" displayFolder="" measureGroup="Interva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TOTAL GERAL 2026]" caption="Soma de TOTAL GERAL 2026" measure="1" displayFolder="" measureGroup="Interval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Ano]" caption="Soma de Ano" measure="1" displayFolder="" measureGroup="Intervalo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ursos]" caption="Soma de Cursos" measure="1" displayFolder="" measureGroup="Intervalo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Vagas]" caption="Soma de Vagas" measure="1" displayFolder="" measureGroup="Intervalo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Matriculados]" caption="Soma de Matriculados" measure="1" displayFolder="" measureGroup="Intervalo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Qualificados]" caption="Soma de Qualificados" measure="1" displayFolder="" measureGroup="Intervalo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áx. de Ano]" caption="Máx. de Ano" measure="1" displayFolder="" measureGroup="Intervalo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Intervalo" uniqueName="[Intervalo]" caption="Intervalo"/>
    <dimension name="Intervalo 1" uniqueName="[Intervalo 1]" caption="Intervalo 1"/>
    <dimension measure="1" name="Measures" uniqueName="[Measures]" caption="Measures"/>
  </dimensions>
  <measureGroups count="2">
    <measureGroup name="Intervalo" caption="Intervalo"/>
    <measureGroup name="Intervalo 1" caption="Intervalo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naldy Luiz Ferreira dos Santos" refreshedDate="46294.730075462961" backgroundQuery="1" createdVersion="8" refreshedVersion="8" minRefreshableVersion="3" recordCount="0" supportSubquery="1" supportAdvancedDrill="1" xr:uid="{E0552758-5150-4A67-AF75-3FA52288F9D8}">
  <cacheSource type="external" connectionId="1"/>
  <cacheFields count="13">
    <cacheField name="[Intervalo 1].[Tipo de Instituição].[Tipo de Instituição]" caption="Tipo de Instituição" numFmtId="0" hierarchy="7" level="1">
      <sharedItems count="6">
        <s v="ESTADO"/>
        <s v="INSTITUTOS FEDERAIS"/>
        <s v="ORGANIZAÇÕES PARCEIRAS, ONGs"/>
        <s v="PREFEITURAS"/>
        <s v="SISTEMA S"/>
        <s v="UNIVERSIDADES"/>
      </sharedItems>
    </cacheField>
    <cacheField name="[Intervalo 1].[Instituições Parceiras].[Instituições Parceiras]" caption="Instituições Parceiras" numFmtId="0" hierarchy="8" level="1">
      <sharedItems count="49">
        <s v="EMPRESA ESTADUAL DE TURISMO - AMAZONASTUR"/>
        <s v="ESTADO DO ACRE"/>
        <s v="FUNDACAO WALL FERRAZ"/>
        <s v="SECRETARIA DE ESTADO DE ASSISTENCIA SOCIAL, TRABALHO, EMPREGO E RENDA -SEASTER"/>
        <s v="Secretaria de Estado de Turismo – SETUR - PA"/>
        <s v="SECRETARIA DE ESTADO ECONOMICO DO PIAUÍ – SDE - Luzilândia/PI"/>
        <s v="SECRETARIA DE ESTADO ECONOMICO DO PIAUÍ – SDE - Parnaíba/PI"/>
        <s v="SECRETARIA DE ESTADO ECONOMICO DO PIAUÍ – SDE - Teresina/PI"/>
        <s v="Secretaria Estadual de Turismo do Rio Grande do Norte SETUR-RN"/>
        <s v="Escola Nacional de Turismo (IFPA)"/>
        <s v="Instituto Federal de Educação, Ciência e Tecnologia da Paraíba - IFPB"/>
        <s v="Instituto Federal de Educação, Ciência e Tecnologia do Ceará - IFCE"/>
        <s v="Instituto Federal de Educação, Ciência e Tecnologia do Maranhão - IFMA"/>
        <s v="Instituto Federal de Educação, Ciência e Tecnologia Do Piauí – IFPI"/>
        <s v="Instituto Federal de Educação, Ciência e Tecnologia do Tocantins -IFTO"/>
        <s v="Instituto Federal de Educação, Ciência e Tecnologia Sul-riograndense (IFSul)"/>
        <s v="Associação Brasileira da Indústria de Hotéis do Rio Grande do Norte - ABIH/RN"/>
        <s v="Associação Construir de Assistência Social"/>
        <s v="AT do Brasil"/>
        <s v="Incluir Treinamentos"/>
        <s v="Instituto Conexão"/>
        <s v="INSTITUTO FUTURE DE JUVENTUDE, PROMOÇÃO, TURISMO, CULTURA E DESENVOLVIMENTO SUSTENTÁVEL"/>
        <s v="INSTITUTO NACIONAL DE PARCERIAS PUBLICAS - INPP"/>
        <s v="INSTITUTO RESGATE ONG ESCOLA VOLUNTARIA AGRICOLA"/>
        <s v="INSTITUTO SOCIAL DE CAPELANIA EDUCACIONAL E CULTURAL DO MARANHAO ISCEC MA"/>
        <s v="Instituto Somar Solução Brasil"/>
        <s v="MUNICÍPIO DE CAPELA"/>
        <s v="Município de Iaçu"/>
        <s v="MUNICIPIO DE NATAL"/>
        <s v="Municipio de Porangatu"/>
        <s v="PREFEITURA MUNICIPAL DE CANINDÉ DE SÃO FRANCISCO"/>
        <s v="Prefeitura Municipal De Careiro"/>
        <s v="PREFEITURA MUNICIPAL DE CONDE/PB"/>
        <s v="Prefeitura Municipal de Italva"/>
        <s v="Prefeitura Municipal de Nilópolis"/>
        <s v="PREFEITURA MUNICIPAL DE SOBRAL"/>
        <s v="Prefeitura Municipal de Tibau do Sul"/>
        <s v="Prefeitura Municipal de Trajano de Moraes"/>
        <s v="PREFEITURA MUNICIPAL DE WENCESLAU GUIMARÃES/BA"/>
        <s v="ACT Sesc/Senac"/>
        <s v="Senac/PR"/>
        <s v="Senac/SC"/>
        <s v="Senac-Pará"/>
        <s v="Senac-PR"/>
        <s v="SERVICO DE APOIO AS MICRO E PEQUENAS EMPRESAS DE SE - SEBRAE"/>
        <s v="SERVIÇO NACIONAL DA APRESENDIZAGEM COMERCIAL - SENAC - AR/RN"/>
        <s v="plataforma qualifica turismo (UFMA)"/>
        <s v="Universidade Federal do Fluminense - UFF"/>
        <s v="Universidade Federal do Tocantins - UFT"/>
      </sharedItems>
    </cacheField>
    <cacheField name="[Intervalo 1].[Instrumento].[Instrumento]" caption="Instrumento" numFmtId="0" hierarchy="10" level="1">
      <sharedItems count="49">
        <s v="Convênio nº 981882/2025"/>
        <s v="Convênio nº 984749/2025"/>
        <s v="Convênio nº 981951/2025"/>
        <s v="Convênio nº 981933/2025"/>
        <s v="Convênio nº 982176/2025"/>
        <s v="Convênio nº 981840/2025"/>
        <s v="Convênio nº 981838/2025"/>
        <s v="Convênio nº 981837/2025"/>
        <s v="Convênio nº 970061/2024"/>
        <s v="TED nº 968127/2024"/>
        <s v="TED nº 04/2020"/>
        <s v="ACT nº 02/2020"/>
        <s v="TED nº 988799/2025"/>
        <s v="TED nº 987841/2025"/>
        <s v="TED nº 004/2019"/>
        <s v="TED nº 07/2020"/>
        <s v="Termo de Fomento nº 971418/2024"/>
        <s v="Termo de Fomento nº 982185/2025"/>
        <s v="ACT nº 05/2022"/>
        <s v="ACT nº 02/2021"/>
        <s v="Termo de Fomento nº 987800/2025"/>
        <s v="Termo de Fomento nº 982190/2025"/>
        <s v="Termo de Fomento nº 988679/2025"/>
        <s v="Termo de Fomento nº 981884/2025"/>
        <s v="Termo de Fomento nº 988537/2025"/>
        <s v="Termo de Fomento nº 981981/2025"/>
        <s v="Convênio nº 981970/2025"/>
        <s v="Convênio nº 982032/2025"/>
        <s v="Convênio nº 988080/2025"/>
        <s v="Convênio nº 981938/2025"/>
        <s v="Convênio nº 981733/2025"/>
        <s v="Convênio nº 982173/2025"/>
        <s v="Convênio nº 982177/2025"/>
        <s v="Convênio nº 982182/2025"/>
        <s v="Convênio nº 982154/2025"/>
        <s v="Convênio nº 982074/2025"/>
        <s v="Convênio nº 982143/2025"/>
        <s v="Convênio nº 981972/2025"/>
        <s v="Convênio nº 981834/2025"/>
        <s v="Convênio nº 982062/2025"/>
        <s v="ACT nº 04/2022"/>
        <s v="ACT nº 01/2022"/>
        <s v=""/>
        <s v="Convênio nº 970062/2024"/>
        <s v="Convênio nº 978164/2025"/>
        <s v="Convênio nº 970093/2024"/>
        <s v="TED nº 01/2022"/>
        <s v="TED nº 01/2020"/>
        <s v="TED nº 02/2020"/>
      </sharedItems>
    </cacheField>
    <cacheField name="[Intervalo 1].[Nº SEI].[Nº SEI]" caption="Nº SEI" numFmtId="0" hierarchy="11" level="1">
      <sharedItems count="51">
        <s v="72031.007729/2025-17"/>
        <s v="72031.009977/2025-01"/>
        <s v="72031.008951/2025-37"/>
        <s v="72031.007724/2025-94"/>
        <s v="72031.007587/2025-98"/>
        <s v="72031.008914/2025-29"/>
        <s v="72031.008917/2025-62"/>
        <s v="72031.008918/2025-15"/>
        <s v="72031.002432/2024-84"/>
        <s v="72031.001167/2024-17"/>
        <s v="72031.011478/2020-61"/>
        <s v="72031.014931/2020-91"/>
        <s v="72031.009969/2025-56"/>
        <s v="72031.009540/2025-69"/>
        <s v="72031.015203/2019-62"/>
        <s v="72031.013839/2020-11"/>
        <s v="72031.009417/2024-67"/>
        <s v="72031.007749/2025-98"/>
        <s v="72031.013373/2022-16"/>
        <s v="72031.012292/2021-18"/>
        <s v="72031.010787/2025-28"/>
        <s v="72031.007746/2025-54"/>
        <s v="72031.011036/2025-29"/>
        <s v="72031.008882/2025-61"/>
        <s v="72031.011033/2025-95"/>
        <s v="72031.007747/2025-07"/>
        <s v="72031.007719/2025-81"/>
        <s v="72031.007721/2025-51"/>
        <s v="72031.010978/2025-90"/>
        <s v="72031.007744/2025-65"/>
        <s v="72031.007722/2025-03"/>
        <s v="72031.007739/2025-52"/>
        <s v="72031.009014/2025-07"/>
        <s v="72031.009016/2025-98"/>
        <s v="72031.007723/2025-40"/>
        <s v="72031.008756/2025-15"/>
        <s v="72031.007733/2025-85"/>
        <s v="72031.007727/2025-28"/>
        <s v="72031.007737/2025-63"/>
        <s v="72031.007745/2025-18"/>
        <s v="72031.006466/2023-67"/>
        <s v="72031.013372/2022-63"/>
        <s v="72031.013366/2022-14"/>
        <s v=""/>
        <s v="72031.002433/2024-29"/>
        <s v="72031.004919/2025-82"/>
        <s v="72031.002426/2024-27"/>
        <s v="72031.002275/2021-64"/>
        <s v="72031.002086/2020-19"/>
        <s v="72031.011644/2022-91"/>
        <s v="72031.011513/2020-41"/>
      </sharedItems>
    </cacheField>
    <cacheField name="[Intervalo 1].[Fonte de Recurso].[Fonte de Recurso]" caption="Fonte de Recurso" numFmtId="0" hierarchy="12" level="1">
      <sharedItems containsBlank="1" count="5">
        <s v="RP8"/>
        <s v="RP6"/>
        <s v="RP2"/>
        <s v="0100000000"/>
        <m/>
      </sharedItems>
    </cacheField>
    <cacheField name="[Measures].[Soma de Cursos]" caption="Soma de Cursos" numFmtId="0" hierarchy="28" level="32767"/>
    <cacheField name="[Measures].[Soma de Vagas]" caption="Soma de Vagas" numFmtId="0" hierarchy="29" level="32767"/>
    <cacheField name="[Measures].[Soma de Matriculados]" caption="Soma de Matriculados" numFmtId="0" hierarchy="30" level="32767"/>
    <cacheField name="[Measures].[Soma de Qualificados]" caption="Soma de Qualificados" numFmtId="0" hierarchy="31" level="32767"/>
    <cacheField name="[Measures].[Máx. de Ano]" caption="Máx. de Ano" numFmtId="0" hierarchy="32" level="32767"/>
    <cacheField name="[Intervalo 1].[UF].[UF]" caption="UF" numFmtId="0" hierarchy="14" level="1">
      <sharedItems count="19">
        <s v="AM"/>
        <s v="AC"/>
        <s v="PI"/>
        <s v="PA"/>
        <s v="RN"/>
        <s v="PB"/>
        <s v="CE"/>
        <s v="MA"/>
        <s v="TO"/>
        <s v="RS"/>
        <s v="RJ"/>
        <s v="MG"/>
        <s v="SP"/>
        <s v="DF"/>
        <s v="SE"/>
        <s v="BA"/>
        <s v="GO"/>
        <s v="PR"/>
        <s v="SC"/>
      </sharedItems>
    </cacheField>
    <cacheField name="[Intervalo 1].[Cidade Sede].[Cidade Sede]" caption="Cidade Sede" numFmtId="0" hierarchy="15" level="1">
      <sharedItems count="35">
        <s v="Manaus"/>
        <s v="Rio Branco"/>
        <s v="Teresina"/>
        <s v="Belém"/>
        <s v="Natal"/>
        <s v="Paraíba"/>
        <s v="Fortaleza"/>
        <s v="Maranhão"/>
        <s v="Piauí"/>
        <s v="Palmas"/>
        <s v="Rio Grande do Sul"/>
        <s v="Rio de Janeiro"/>
        <s v="São Domingos do Prata"/>
        <s v="São Paulo"/>
        <s v="Brasília"/>
        <s v="Penalva"/>
        <s v="São Luiz"/>
        <s v="Capela"/>
        <s v="Iaçu"/>
        <s v="Porangatu"/>
        <s v="Canindé de São Francisco"/>
        <s v="Careiro"/>
        <s v="Conde"/>
        <s v="Italva"/>
        <s v="Nilópolis"/>
        <s v="Sobral"/>
        <s v="Tibau do Sul"/>
        <s v="Trajano de Moraes"/>
        <s v="Wenceslau Guimarães"/>
        <s v="Curitiba"/>
        <s v="Florianópolis"/>
        <s v="Pará"/>
        <s v="Aracaju"/>
        <s v="Espírito Santo"/>
        <s v="Tocantins"/>
      </sharedItems>
    </cacheField>
    <cacheField name="[Intervalo 1].[Local de Realização].[Local de Realização]" caption="Local de Realização" numFmtId="0" hierarchy="16" level="1">
      <sharedItems count="42">
        <s v="Tefé, Manaus, Manaus, Manacapuru, Maués, Parintins, Humaitá, Itacoatiara, Tabatinga"/>
        <s v="Rio Branco, Cruzeiro do Sul, Tarauacá, Feijó, Epitaciolândia, Xapuri"/>
        <s v="Teresina"/>
        <s v="Ananindeua, Benevides, Marituba, Santa Bárbara do Pará"/>
        <s v="Belém"/>
        <s v="Luzilândia"/>
        <s v="Parnaíba"/>
        <s v="Patu, Felipe Guerra, Currais Novos, Portalegre, Acari, Lagoa Nova"/>
        <s v="Belém, Santarém, Vigia, Bragança,"/>
        <s v="Nordeste"/>
        <s v="Nacional"/>
        <s v="Buriti dos Lopes, Amarante, São Pedro do Piauí, Teresina, Cajueiro da Praia, Arraial, Cabaceiras do Piauí, Jardim do Mulato"/>
        <s v="Batalha, Luzilândia, Teresina, José de Freitas, Campo Maior, Piripiri, Luzilândia, Parnaíba, Luís Correia, Cajueiro da Praia,"/>
        <s v="Maxarangape, Serra de São Bento, Monte das Gameleiras, São Miguel do Gostoso, Baia Formosa, Tibau do Sul, Natal"/>
        <s v="Búzios, Guapimirim"/>
        <s v="Cabo Frio, Búzios, Paty do Alferes, Penedo, Petrópolis, Teresópolis, Paraty, Areal, Angra dos Reis"/>
        <s v="Fortaleza"/>
        <s v="Brasília"/>
        <s v="São José de Ribamar, Paço do Lumiar, Bacuri, São Luís"/>
        <s v="São Luís"/>
        <s v="Benfica"/>
        <s v="Capela"/>
        <s v="Iaçu"/>
        <s v="Natal"/>
        <s v="Porangatu"/>
        <s v="Canindé de São Francisco"/>
        <s v="Careiro"/>
        <s v="Conde"/>
        <s v="Italva"/>
        <s v="Nilópolis"/>
        <s v="Sobral"/>
        <s v="Tibau do Sul"/>
        <s v="Trajano de Moraes"/>
        <s v="Wenceslau Guimarães"/>
        <s v="AM,BA,ES,MA,MG,MS,MT,PR,RJ,SE"/>
        <s v="AM,BA,DF,ES,GO,MG,MS,MT,PE,SC,SE"/>
        <s v="Pará"/>
        <s v="PR, PI, GO"/>
        <s v="Sergipe"/>
        <s v="Acari, Angicos, Apodi, Areia Branca, Assú, Baía Formosa, Baraúna, Brejinho, Carnaúba dos Dantas, Ceará Mirim, Cerro Corá, Currais Novos, Extremoz, Felipe Guerra, Florânia, Galinhos"/>
        <s v="Sudeste"/>
        <s v=" Norte e Centro-Oeste"/>
      </sharedItems>
    </cacheField>
  </cacheFields>
  <cacheHierarchies count="33">
    <cacheHierarchy uniqueName="[Intervalo].[Região]" caption="Região" attribute="1" defaultMemberUniqueName="[Intervalo].[Região].[All]" allUniqueName="[Intervalo].[Região].[All]" dimensionUniqueName="[Intervalo]" displayFolder="" count="0" memberValueDatatype="130" unbalanced="0"/>
    <cacheHierarchy uniqueName="[Intervalo].[Estado]" caption="Estado" attribute="1" defaultMemberUniqueName="[Intervalo].[Estado].[All]" allUniqueName="[Intervalo].[Estado].[All]" dimensionUniqueName="[Intervalo]" displayFolder="" count="0" memberValueDatatype="130" unbalanced="0"/>
    <cacheHierarchy uniqueName="[Intervalo].[TOTAL GERAL 2023]" caption="TOTAL GERAL 2023" attribute="1" defaultMemberUniqueName="[Intervalo].[TOTAL GERAL 2023].[All]" allUniqueName="[Intervalo].[TOTAL GERAL 2023].[All]" dimensionUniqueName="[Intervalo]" displayFolder="" count="0" memberValueDatatype="20" unbalanced="0"/>
    <cacheHierarchy uniqueName="[Intervalo].[TOTAL GERAL 2024]" caption="TOTAL GERAL 2024" attribute="1" defaultMemberUniqueName="[Intervalo].[TOTAL GERAL 2024].[All]" allUniqueName="[Intervalo].[TOTAL GERAL 2024].[All]" dimensionUniqueName="[Intervalo]" displayFolder="" count="0" memberValueDatatype="20" unbalanced="0"/>
    <cacheHierarchy uniqueName="[Intervalo].[TOTAL GERAL 2025]" caption="TOTAL GERAL 2025" attribute="1" defaultMemberUniqueName="[Intervalo].[TOTAL GERAL 2025].[All]" allUniqueName="[Intervalo].[TOTAL GERAL 2025].[All]" dimensionUniqueName="[Intervalo]" displayFolder="" count="0" memberValueDatatype="20" unbalanced="0"/>
    <cacheHierarchy uniqueName="[Intervalo].[TOTAL GERAL 2026]" caption="TOTAL GERAL 2026" attribute="1" defaultMemberUniqueName="[Intervalo].[TOTAL GERAL 2026].[All]" allUniqueName="[Intervalo].[TOTAL GERAL 2026].[All]" dimensionUniqueName="[Intervalo]" displayFolder="" count="0" memberValueDatatype="20" unbalanced="0"/>
    <cacheHierarchy uniqueName="[Intervalo].[TOTAL GERAL DE 2023 A 2026]" caption="TOTAL GERAL DE 2023 A 2026" attribute="1" defaultMemberUniqueName="[Intervalo].[TOTAL GERAL DE 2023 A 2026].[All]" allUniqueName="[Intervalo].[TOTAL GERAL DE 2023 A 2026].[All]" dimensionUniqueName="[Intervalo]" displayFolder="" count="0" memberValueDatatype="20" unbalanced="0"/>
    <cacheHierarchy uniqueName="[Intervalo 1].[Tipo de Instituição]" caption="Tipo de Instituição" attribute="1" defaultMemberUniqueName="[Intervalo 1].[Tipo de Instituição].[All]" allUniqueName="[Intervalo 1].[Tipo de Instituição].[All]" dimensionUniqueName="[Intervalo 1]" displayFolder="" count="2" memberValueDatatype="130" unbalanced="0">
      <fieldsUsage count="2">
        <fieldUsage x="-1"/>
        <fieldUsage x="0"/>
      </fieldsUsage>
    </cacheHierarchy>
    <cacheHierarchy uniqueName="[Intervalo 1].[Instituições Parceiras]" caption="Instituições Parceiras" attribute="1" defaultMemberUniqueName="[Intervalo 1].[Instituições Parceiras].[All]" allUniqueName="[Intervalo 1].[Instituições Parceiras].[All]" dimensionUniqueName="[Intervalo 1]" displayFolder="" count="2" memberValueDatatype="130" unbalanced="0">
      <fieldsUsage count="2">
        <fieldUsage x="-1"/>
        <fieldUsage x="1"/>
      </fieldsUsage>
    </cacheHierarchy>
    <cacheHierarchy uniqueName="[Intervalo 1].[Ano]" caption="Ano" attribute="1" defaultMemberUniqueName="[Intervalo 1].[Ano].[All]" allUniqueName="[Intervalo 1].[Ano].[All]" dimensionUniqueName="[Intervalo 1]" displayFolder="" count="0" memberValueDatatype="20" unbalanced="0"/>
    <cacheHierarchy uniqueName="[Intervalo 1].[Instrumento]" caption="Instrumento" attribute="1" defaultMemberUniqueName="[Intervalo 1].[Instrumento].[All]" allUniqueName="[Intervalo 1].[Instrumento].[All]" dimensionUniqueName="[Intervalo 1]" displayFolder="" count="2" memberValueDatatype="130" unbalanced="0">
      <fieldsUsage count="2">
        <fieldUsage x="-1"/>
        <fieldUsage x="2"/>
      </fieldsUsage>
    </cacheHierarchy>
    <cacheHierarchy uniqueName="[Intervalo 1].[Nº SEI]" caption="Nº SEI" attribute="1" defaultMemberUniqueName="[Intervalo 1].[Nº SEI].[All]" allUniqueName="[Intervalo 1].[Nº SEI].[All]" dimensionUniqueName="[Intervalo 1]" displayFolder="" count="2" memberValueDatatype="130" unbalanced="0">
      <fieldsUsage count="2">
        <fieldUsage x="-1"/>
        <fieldUsage x="3"/>
      </fieldsUsage>
    </cacheHierarchy>
    <cacheHierarchy uniqueName="[Intervalo 1].[Fonte de Recurso]" caption="Fonte de Recurso" attribute="1" defaultMemberUniqueName="[Intervalo 1].[Fonte de Recurso].[All]" allUniqueName="[Intervalo 1].[Fonte de Recurso].[All]" dimensionUniqueName="[Intervalo 1]" displayFolder="" count="2" memberValueDatatype="130" unbalanced="0">
      <fieldsUsage count="2">
        <fieldUsage x="-1"/>
        <fieldUsage x="4"/>
      </fieldsUsage>
    </cacheHierarchy>
    <cacheHierarchy uniqueName="[Intervalo 1].[Região]" caption="Região" attribute="1" defaultMemberUniqueName="[Intervalo 1].[Região].[All]" allUniqueName="[Intervalo 1].[Região].[All]" dimensionUniqueName="[Intervalo 1]" displayFolder="" count="0" memberValueDatatype="130" unbalanced="0"/>
    <cacheHierarchy uniqueName="[Intervalo 1].[UF]" caption="UF" attribute="1" defaultMemberUniqueName="[Intervalo 1].[UF].[All]" allUniqueName="[Intervalo 1].[UF].[All]" dimensionUniqueName="[Intervalo 1]" displayFolder="" count="2" memberValueDatatype="130" unbalanced="0">
      <fieldsUsage count="2">
        <fieldUsage x="-1"/>
        <fieldUsage x="10"/>
      </fieldsUsage>
    </cacheHierarchy>
    <cacheHierarchy uniqueName="[Intervalo 1].[Cidade Sede]" caption="Cidade Sede" attribute="1" defaultMemberUniqueName="[Intervalo 1].[Cidade Sede].[All]" allUniqueName="[Intervalo 1].[Cidade Sede].[All]" dimensionUniqueName="[Intervalo 1]" displayFolder="" count="2" memberValueDatatype="130" unbalanced="0">
      <fieldsUsage count="2">
        <fieldUsage x="-1"/>
        <fieldUsage x="11"/>
      </fieldsUsage>
    </cacheHierarchy>
    <cacheHierarchy uniqueName="[Intervalo 1].[Local de Realização]" caption="Local de Realização" attribute="1" defaultMemberUniqueName="[Intervalo 1].[Local de Realização].[All]" allUniqueName="[Intervalo 1].[Local de Realização].[All]" dimensionUniqueName="[Intervalo 1]" displayFolder="" count="2" memberValueDatatype="130" unbalanced="0">
      <fieldsUsage count="2">
        <fieldUsage x="-1"/>
        <fieldUsage x="12"/>
      </fieldsUsage>
    </cacheHierarchy>
    <cacheHierarchy uniqueName="[Intervalo 1].[Cursos]" caption="Cursos" attribute="1" defaultMemberUniqueName="[Intervalo 1].[Cursos].[All]" allUniqueName="[Intervalo 1].[Cursos].[All]" dimensionUniqueName="[Intervalo 1]" displayFolder="" count="0" memberValueDatatype="20" unbalanced="0"/>
    <cacheHierarchy uniqueName="[Intervalo 1].[Vagas]" caption="Vagas" attribute="1" defaultMemberUniqueName="[Intervalo 1].[Vagas].[All]" allUniqueName="[Intervalo 1].[Vagas].[All]" dimensionUniqueName="[Intervalo 1]" displayFolder="" count="0" memberValueDatatype="20" unbalanced="0"/>
    <cacheHierarchy uniqueName="[Intervalo 1].[Matriculados]" caption="Matriculados" attribute="1" defaultMemberUniqueName="[Intervalo 1].[Matriculados].[All]" allUniqueName="[Intervalo 1].[Matriculados].[All]" dimensionUniqueName="[Intervalo 1]" displayFolder="" count="0" memberValueDatatype="20" unbalanced="0"/>
    <cacheHierarchy uniqueName="[Intervalo 1].[Qualificados]" caption="Qualificados" attribute="1" defaultMemberUniqueName="[Intervalo 1].[Qualificados].[All]" allUniqueName="[Intervalo 1].[Qualificados].[All]" dimensionUniqueName="[Intervalo 1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XL_Count Intervalo 1]" caption="__XL_Count Intervalo 1" measure="1" displayFolder="" measureGroup="Intervalo 1" count="0" hidden="1"/>
    <cacheHierarchy uniqueName="[Measures].[__No measures defined]" caption="__No measures defined" measure="1" displayFolder="" count="0" hidden="1"/>
    <cacheHierarchy uniqueName="[Measures].[Soma de TOTAL GERAL 2024]" caption="Soma de TOTAL GERAL 2024" measure="1" displayFolder="" measureGroup="Interval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TOTAL GERAL 2025]" caption="Soma de TOTAL GERAL 2025" measure="1" displayFolder="" measureGroup="Interval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TOTAL GERAL 2026]" caption="Soma de TOTAL GERAL 2026" measure="1" displayFolder="" measureGroup="Interval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Ano]" caption="Soma de Ano" measure="1" displayFolder="" measureGroup="Intervalo 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ursos]" caption="Soma de Cursos" measure="1" displayFolder="" measureGroup="Intervalo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Vagas]" caption="Soma de Vagas" measure="1" displayFolder="" measureGroup="Intervalo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Matriculados]" caption="Soma de Matriculados" measure="1" displayFolder="" measureGroup="Intervalo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Qualificados]" caption="Soma de Qualificados" measure="1" displayFolder="" measureGroup="Intervalo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áx. de Ano]" caption="Máx. de Ano" measure="1" displayFolder="" measureGroup="Intervalo 1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Intervalo" uniqueName="[Intervalo]" caption="Intervalo"/>
    <dimension name="Intervalo 1" uniqueName="[Intervalo 1]" caption="Intervalo 1"/>
    <dimension measure="1" name="Measures" uniqueName="[Measures]" caption="Measures"/>
  </dimensions>
  <measureGroups count="2">
    <measureGroup name="Intervalo" caption="Intervalo"/>
    <measureGroup name="Intervalo 1" caption="Intervalo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7D880-D245-41DF-9618-12C3C6EF564C}" name="Tabela dinâmica2" cacheId="105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rowHeaderCaption="Tipo de Instituição">
  <location ref="A1:L61" firstHeaderRow="0" firstDataRow="1" firstDataCol="7"/>
  <pivotFields count="13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Row" allDrilled="1" outline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outline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axis="axisRow" allDrilled="1" outline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Row" allDrilled="1" outline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outline="0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allDrilled="1" outline="0" subtotalTop="0" showAll="0" dataSourceSort="1" defaultSubtotal="0" defaultAttributeDrillState="1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axis="axisRow" allDrilled="1" subtotalTop="0" showAll="0" insertPageBreak="1" dataSourceSort="1" defaultSubtotal="0" defaultAttributeDrillState="1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</items>
    </pivotField>
  </pivotFields>
  <rowFields count="8">
    <field x="0"/>
    <field x="1"/>
    <field x="2"/>
    <field x="3"/>
    <field x="4"/>
    <field x="10"/>
    <field x="11"/>
    <field x="12"/>
  </rowFields>
  <rowItems count="60">
    <i>
      <x/>
    </i>
    <i r="1">
      <x/>
      <x/>
      <x/>
      <x/>
      <x/>
      <x/>
      <x/>
    </i>
    <i r="1">
      <x v="1"/>
      <x v="1"/>
      <x v="1"/>
      <x/>
      <x v="1"/>
      <x v="1"/>
      <x v="1"/>
    </i>
    <i r="1">
      <x v="2"/>
      <x v="2"/>
      <x v="2"/>
      <x/>
      <x v="2"/>
      <x v="2"/>
      <x v="2"/>
    </i>
    <i r="1">
      <x v="3"/>
      <x v="3"/>
      <x v="3"/>
      <x/>
      <x v="3"/>
      <x v="3"/>
      <x v="3"/>
    </i>
    <i r="1">
      <x v="4"/>
      <x v="4"/>
      <x v="4"/>
      <x/>
      <x v="3"/>
      <x v="3"/>
      <x v="4"/>
    </i>
    <i r="1">
      <x v="5"/>
      <x v="5"/>
      <x v="5"/>
      <x/>
      <x v="2"/>
      <x v="2"/>
      <x v="5"/>
    </i>
    <i r="1">
      <x v="6"/>
      <x v="6"/>
      <x v="6"/>
      <x/>
      <x v="2"/>
      <x v="2"/>
      <x v="6"/>
    </i>
    <i r="1">
      <x v="7"/>
      <x v="7"/>
      <x v="7"/>
      <x/>
      <x v="2"/>
      <x v="2"/>
      <x v="2"/>
    </i>
    <i r="1">
      <x v="8"/>
      <x v="8"/>
      <x v="8"/>
      <x v="1"/>
      <x v="4"/>
      <x v="4"/>
      <x v="7"/>
    </i>
    <i>
      <x v="1"/>
    </i>
    <i r="1">
      <x v="9"/>
      <x v="9"/>
      <x v="9"/>
      <x v="2"/>
      <x v="3"/>
      <x v="3"/>
      <x v="8"/>
    </i>
    <i r="1">
      <x v="10"/>
      <x v="10"/>
      <x v="10"/>
      <x v="3"/>
      <x v="5"/>
      <x v="5"/>
      <x v="9"/>
    </i>
    <i r="1">
      <x v="11"/>
      <x v="11"/>
      <x v="11"/>
      <x v="4"/>
      <x v="6"/>
      <x v="6"/>
      <x v="10"/>
    </i>
    <i r="1">
      <x v="12"/>
      <x v="12"/>
      <x v="12"/>
      <x/>
      <x v="7"/>
      <x v="7"/>
      <x v="11"/>
    </i>
    <i r="1">
      <x v="13"/>
      <x v="13"/>
      <x v="13"/>
      <x/>
      <x v="2"/>
      <x v="8"/>
      <x v="12"/>
    </i>
    <i r="1">
      <x v="14"/>
      <x v="14"/>
      <x v="14"/>
      <x v="2"/>
      <x v="8"/>
      <x v="9"/>
      <x v="10"/>
    </i>
    <i r="1">
      <x v="15"/>
      <x v="15"/>
      <x v="15"/>
      <x v="2"/>
      <x v="9"/>
      <x v="10"/>
      <x v="10"/>
    </i>
    <i>
      <x v="2"/>
    </i>
    <i r="1">
      <x v="16"/>
      <x v="16"/>
      <x v="16"/>
      <x v="1"/>
      <x v="4"/>
      <x v="4"/>
      <x v="13"/>
    </i>
    <i r="1">
      <x v="17"/>
      <x v="17"/>
      <x v="17"/>
      <x/>
      <x v="10"/>
      <x v="11"/>
      <x v="14"/>
    </i>
    <i r="1">
      <x v="18"/>
      <x v="18"/>
      <x v="18"/>
      <x v="4"/>
      <x v="11"/>
      <x v="12"/>
      <x v="10"/>
    </i>
    <i r="1">
      <x v="19"/>
      <x v="19"/>
      <x v="19"/>
      <x v="4"/>
      <x v="12"/>
      <x v="13"/>
      <x v="10"/>
    </i>
    <i r="1">
      <x v="20"/>
      <x v="20"/>
      <x v="20"/>
      <x/>
      <x v="10"/>
      <x v="11"/>
      <x v="15"/>
    </i>
    <i r="1">
      <x v="21"/>
      <x v="21"/>
      <x v="21"/>
      <x/>
      <x v="6"/>
      <x v="6"/>
      <x v="16"/>
    </i>
    <i r="1">
      <x v="22"/>
      <x v="22"/>
      <x v="22"/>
      <x/>
      <x v="13"/>
      <x v="14"/>
      <x v="17"/>
    </i>
    <i r="1">
      <x v="23"/>
      <x v="23"/>
      <x v="23"/>
      <x/>
      <x v="7"/>
      <x v="15"/>
      <x v="18"/>
    </i>
    <i r="1">
      <x v="24"/>
      <x v="24"/>
      <x v="24"/>
      <x/>
      <x v="7"/>
      <x v="16"/>
      <x v="19"/>
    </i>
    <i r="1">
      <x v="25"/>
      <x v="25"/>
      <x v="25"/>
      <x/>
      <x v="10"/>
      <x v="11"/>
      <x v="20"/>
    </i>
    <i>
      <x v="3"/>
    </i>
    <i r="1">
      <x v="26"/>
      <x v="26"/>
      <x v="26"/>
      <x/>
      <x v="14"/>
      <x v="17"/>
      <x v="21"/>
    </i>
    <i r="1">
      <x v="27"/>
      <x v="27"/>
      <x v="27"/>
      <x/>
      <x v="15"/>
      <x v="18"/>
      <x v="22"/>
    </i>
    <i r="1">
      <x v="28"/>
      <x v="28"/>
      <x v="28"/>
      <x/>
      <x v="4"/>
      <x v="4"/>
      <x v="23"/>
    </i>
    <i r="1">
      <x v="29"/>
      <x v="29"/>
      <x v="29"/>
      <x/>
      <x v="16"/>
      <x v="19"/>
      <x v="24"/>
    </i>
    <i r="1">
      <x v="30"/>
      <x v="30"/>
      <x v="30"/>
      <x/>
      <x v="14"/>
      <x v="20"/>
      <x v="25"/>
    </i>
    <i r="1">
      <x v="31"/>
      <x v="31"/>
      <x v="31"/>
      <x/>
      <x/>
      <x v="21"/>
      <x v="26"/>
    </i>
    <i r="1">
      <x v="32"/>
      <x v="32"/>
      <x v="32"/>
      <x/>
      <x v="5"/>
      <x v="22"/>
      <x v="27"/>
    </i>
    <i r="1">
      <x v="33"/>
      <x v="33"/>
      <x v="33"/>
      <x/>
      <x v="10"/>
      <x v="23"/>
      <x v="28"/>
    </i>
    <i r="1">
      <x v="34"/>
      <x v="34"/>
      <x v="34"/>
      <x/>
      <x v="10"/>
      <x v="24"/>
      <x v="29"/>
    </i>
    <i r="1">
      <x v="35"/>
      <x v="35"/>
      <x v="35"/>
      <x/>
      <x v="6"/>
      <x v="25"/>
      <x v="30"/>
    </i>
    <i r="2">
      <x v="36"/>
      <x v="36"/>
      <x/>
      <x v="6"/>
      <x v="25"/>
      <x v="30"/>
    </i>
    <i r="1">
      <x v="36"/>
      <x v="37"/>
      <x v="37"/>
      <x/>
      <x v="4"/>
      <x v="26"/>
      <x v="31"/>
    </i>
    <i r="1">
      <x v="37"/>
      <x v="38"/>
      <x v="38"/>
      <x/>
      <x v="10"/>
      <x v="27"/>
      <x v="32"/>
    </i>
    <i r="1">
      <x v="38"/>
      <x v="39"/>
      <x v="39"/>
      <x/>
      <x v="15"/>
      <x v="28"/>
      <x v="33"/>
    </i>
    <i>
      <x v="4"/>
    </i>
    <i r="1">
      <x v="39"/>
      <x v="40"/>
      <x v="40"/>
      <x v="4"/>
      <x v="3"/>
      <x v="3"/>
      <x v="10"/>
    </i>
    <i r="1">
      <x v="40"/>
      <x v="40"/>
      <x v="41"/>
      <x v="4"/>
      <x v="17"/>
      <x v="29"/>
      <x v="34"/>
    </i>
    <i r="1">
      <x v="41"/>
      <x v="41"/>
      <x v="42"/>
      <x v="4"/>
      <x v="18"/>
      <x v="30"/>
      <x v="35"/>
    </i>
    <i r="1">
      <x v="42"/>
      <x v="42"/>
      <x v="43"/>
      <x v="4"/>
      <x v="3"/>
      <x v="31"/>
      <x v="36"/>
    </i>
    <i r="1">
      <x v="43"/>
      <x v="40"/>
      <x v="41"/>
      <x v="4"/>
      <x v="17"/>
      <x v="29"/>
      <x v="37"/>
    </i>
    <i r="1">
      <x v="44"/>
      <x v="43"/>
      <x v="44"/>
      <x v="1"/>
      <x v="14"/>
      <x v="32"/>
      <x v="38"/>
    </i>
    <i r="1">
      <x v="45"/>
      <x v="44"/>
      <x v="45"/>
      <x v="1"/>
      <x v="4"/>
      <x v="4"/>
      <x v="39"/>
    </i>
    <i r="2">
      <x v="45"/>
      <x v="46"/>
      <x v="1"/>
      <x v="4"/>
      <x v="4"/>
      <x v="39"/>
    </i>
    <i>
      <x v="5"/>
    </i>
    <i r="1">
      <x v="9"/>
      <x v="9"/>
      <x v="9"/>
      <x v="2"/>
      <x v="3"/>
      <x v="3"/>
      <x v="8"/>
    </i>
    <i r="1">
      <x v="46"/>
      <x v="46"/>
      <x v="47"/>
      <x v="2"/>
      <x v="7"/>
      <x v="7"/>
      <x v="10"/>
    </i>
    <i r="1">
      <x v="47"/>
      <x v="47"/>
      <x v="48"/>
      <x v="3"/>
      <x v="10"/>
      <x v="33"/>
      <x v="40"/>
    </i>
    <i r="2">
      <x v="46"/>
      <x v="49"/>
      <x v="3"/>
      <x v="10"/>
      <x v="33"/>
      <x v="40"/>
    </i>
    <i r="1">
      <x v="48"/>
      <x v="48"/>
      <x v="50"/>
      <x v="3"/>
      <x v="8"/>
      <x v="34"/>
      <x v="4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Ano" fld="9" subtotal="max" baseField="0" baseItem="2"/>
    <dataField name=" Cursos" fld="5" baseField="0" baseItem="2" numFmtId="3"/>
    <dataField name=" Vagas" fld="6" baseField="0" baseItem="2" numFmtId="3"/>
    <dataField name=" Matriculados" fld="7" baseField="0" baseItem="2" numFmtId="3"/>
    <dataField name=" Qualificados" fld="8" baseField="0" baseItem="2" numFmtId="3"/>
  </dataFields>
  <formats count="51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 axis="axisRow" fieldPosition="0"/>
    </format>
    <format dxfId="48">
      <pivotArea field="2" type="button" dataOnly="0" labelOnly="1" outline="0" axis="axisRow" fieldPosition="2"/>
    </format>
    <format dxfId="47">
      <pivotArea field="3" type="button" dataOnly="0" labelOnly="1" outline="0" axis="axisRow" fieldPosition="3"/>
    </format>
    <format dxfId="46">
      <pivotArea field="4" type="button" dataOnly="0" labelOnly="1" outline="0" axis="axisRow" fieldPosition="4"/>
    </format>
    <format dxfId="45">
      <pivotArea field="10" type="button" dataOnly="0" labelOnly="1" outline="0" axis="axisRow" fieldPosition="5"/>
    </format>
    <format dxfId="44">
      <pivotArea field="11" type="button" dataOnly="0" labelOnly="1" outline="0" axis="axisRow" fieldPosition="6"/>
    </format>
    <format dxfId="43">
      <pivotArea field="12" type="button" dataOnly="0" labelOnly="1" outline="0" axis="axisRow" fieldPosition="7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2">
          <reference field="0" count="1" selected="0">
            <x v="4"/>
          </reference>
          <reference field="1" count="6">
            <x v="39"/>
            <x v="40"/>
            <x v="41"/>
            <x v="42"/>
            <x v="43"/>
            <x v="45"/>
          </reference>
        </references>
      </pivotArea>
    </format>
    <format dxfId="39">
      <pivotArea dataOnly="0" labelOnly="1" fieldPosition="0">
        <references count="3">
          <reference field="0" count="1" selected="0">
            <x v="4"/>
          </reference>
          <reference field="1" count="1" selected="0">
            <x v="39"/>
          </reference>
          <reference field="2" count="1">
            <x v="40"/>
          </reference>
        </references>
      </pivotArea>
    </format>
    <format dxfId="38">
      <pivotArea dataOnly="0" labelOnly="1" fieldPosition="0">
        <references count="3">
          <reference field="0" count="1" selected="0">
            <x v="4"/>
          </reference>
          <reference field="1" count="1" selected="0">
            <x v="41"/>
          </reference>
          <reference field="2" count="1">
            <x v="41"/>
          </reference>
        </references>
      </pivotArea>
    </format>
    <format dxfId="37">
      <pivotArea dataOnly="0" labelOnly="1" fieldPosition="0">
        <references count="3">
          <reference field="0" count="1" selected="0">
            <x v="4"/>
          </reference>
          <reference field="1" count="1" selected="0">
            <x v="42"/>
          </reference>
          <reference field="2" count="1">
            <x v="42"/>
          </reference>
        </references>
      </pivotArea>
    </format>
    <format dxfId="36">
      <pivotArea dataOnly="0" labelOnly="1" fieldPosition="0">
        <references count="3">
          <reference field="0" count="1" selected="0">
            <x v="4"/>
          </reference>
          <reference field="1" count="1" selected="0">
            <x v="43"/>
          </reference>
          <reference field="2" count="1">
            <x v="40"/>
          </reference>
        </references>
      </pivotArea>
    </format>
    <format dxfId="35">
      <pivotArea dataOnly="0" labelOnly="1" fieldPosition="0">
        <references count="3">
          <reference field="0" count="1" selected="0">
            <x v="4"/>
          </reference>
          <reference field="1" count="1" selected="0">
            <x v="45"/>
          </reference>
          <reference field="2" count="1">
            <x v="44"/>
          </reference>
        </references>
      </pivotArea>
    </format>
    <format dxfId="34">
      <pivotArea dataOnly="0" labelOnly="1" fieldPosition="0">
        <references count="4">
          <reference field="0" count="1" selected="0">
            <x v="4"/>
          </reference>
          <reference field="1" count="1" selected="0">
            <x v="39"/>
          </reference>
          <reference field="2" count="1" selected="0">
            <x v="40"/>
          </reference>
          <reference field="3" count="1">
            <x v="40"/>
          </reference>
        </references>
      </pivotArea>
    </format>
    <format dxfId="33">
      <pivotArea dataOnly="0" labelOnly="1" fieldPosition="0">
        <references count="4">
          <reference field="0" count="1" selected="0">
            <x v="4"/>
          </reference>
          <reference field="1" count="1" selected="0">
            <x v="40"/>
          </reference>
          <reference field="2" count="1" selected="0">
            <x v="40"/>
          </reference>
          <reference field="3" count="1">
            <x v="41"/>
          </reference>
        </references>
      </pivotArea>
    </format>
    <format dxfId="32">
      <pivotArea dataOnly="0" labelOnly="1" fieldPosition="0">
        <references count="4">
          <reference field="0" count="1" selected="0">
            <x v="4"/>
          </reference>
          <reference field="1" count="1" selected="0">
            <x v="41"/>
          </reference>
          <reference field="2" count="1" selected="0">
            <x v="41"/>
          </reference>
          <reference field="3" count="1">
            <x v="42"/>
          </reference>
        </references>
      </pivotArea>
    </format>
    <format dxfId="31">
      <pivotArea dataOnly="0" labelOnly="1" fieldPosition="0">
        <references count="4">
          <reference field="0" count="1" selected="0">
            <x v="4"/>
          </reference>
          <reference field="1" count="1" selected="0">
            <x v="42"/>
          </reference>
          <reference field="2" count="1" selected="0">
            <x v="42"/>
          </reference>
          <reference field="3" count="1">
            <x v="43"/>
          </reference>
        </references>
      </pivotArea>
    </format>
    <format dxfId="30">
      <pivotArea dataOnly="0" labelOnly="1" fieldPosition="0">
        <references count="4">
          <reference field="0" count="1" selected="0">
            <x v="4"/>
          </reference>
          <reference field="1" count="1" selected="0">
            <x v="43"/>
          </reference>
          <reference field="2" count="1" selected="0">
            <x v="40"/>
          </reference>
          <reference field="3" count="1">
            <x v="41"/>
          </reference>
        </references>
      </pivotArea>
    </format>
    <format dxfId="29">
      <pivotArea dataOnly="0" labelOnly="1" fieldPosition="0">
        <references count="4">
          <reference field="0" count="1" selected="0">
            <x v="4"/>
          </reference>
          <reference field="1" count="1" selected="0">
            <x v="45"/>
          </reference>
          <reference field="2" count="1" selected="0">
            <x v="44"/>
          </reference>
          <reference field="3" count="1">
            <x v="45"/>
          </reference>
        </references>
      </pivotArea>
    </format>
    <format dxfId="28">
      <pivotArea dataOnly="0" labelOnly="1" fieldPosition="0">
        <references count="5">
          <reference field="0" count="1" selected="0">
            <x v="4"/>
          </reference>
          <reference field="1" count="1" selected="0">
            <x v="39"/>
          </reference>
          <reference field="2" count="1" selected="0">
            <x v="40"/>
          </reference>
          <reference field="3" count="1" selected="0">
            <x v="40"/>
          </reference>
          <reference field="4" count="1">
            <x v="4"/>
          </reference>
        </references>
      </pivotArea>
    </format>
    <format dxfId="27">
      <pivotArea dataOnly="0" labelOnly="1" fieldPosition="0">
        <references count="5">
          <reference field="0" count="1" selected="0">
            <x v="4"/>
          </reference>
          <reference field="1" count="1" selected="0">
            <x v="45"/>
          </reference>
          <reference field="2" count="1" selected="0">
            <x v="44"/>
          </reference>
          <reference field="3" count="1" selected="0">
            <x v="45"/>
          </reference>
          <reference field="4" count="1">
            <x v="1"/>
          </reference>
        </references>
      </pivotArea>
    </format>
    <format dxfId="26">
      <pivotArea dataOnly="0" labelOnly="1" fieldPosition="0">
        <references count="6">
          <reference field="0" count="1" selected="0">
            <x v="4"/>
          </reference>
          <reference field="1" count="1" selected="0">
            <x v="40"/>
          </reference>
          <reference field="2" count="1" selected="0">
            <x v="40"/>
          </reference>
          <reference field="3" count="1" selected="0">
            <x v="41"/>
          </reference>
          <reference field="4" count="1" selected="0">
            <x v="4"/>
          </reference>
          <reference field="10" count="1">
            <x v="17"/>
          </reference>
        </references>
      </pivotArea>
    </format>
    <format dxfId="25">
      <pivotArea dataOnly="0" labelOnly="1" fieldPosition="0">
        <references count="6">
          <reference field="0" count="1" selected="0">
            <x v="4"/>
          </reference>
          <reference field="1" count="1" selected="0">
            <x v="41"/>
          </reference>
          <reference field="2" count="1" selected="0">
            <x v="41"/>
          </reference>
          <reference field="3" count="1" selected="0">
            <x v="42"/>
          </reference>
          <reference field="4" count="1" selected="0">
            <x v="4"/>
          </reference>
          <reference field="10" count="1">
            <x v="18"/>
          </reference>
        </references>
      </pivotArea>
    </format>
    <format dxfId="24">
      <pivotArea dataOnly="0" labelOnly="1" fieldPosition="0">
        <references count="6">
          <reference field="0" count="1" selected="0">
            <x v="4"/>
          </reference>
          <reference field="1" count="1" selected="0">
            <x v="42"/>
          </reference>
          <reference field="2" count="1" selected="0">
            <x v="42"/>
          </reference>
          <reference field="3" count="1" selected="0">
            <x v="43"/>
          </reference>
          <reference field="4" count="1" selected="0">
            <x v="4"/>
          </reference>
          <reference field="10" count="1">
            <x v="3"/>
          </reference>
        </references>
      </pivotArea>
    </format>
    <format dxfId="23">
      <pivotArea dataOnly="0" labelOnly="1" fieldPosition="0">
        <references count="6">
          <reference field="0" count="1" selected="0">
            <x v="4"/>
          </reference>
          <reference field="1" count="1" selected="0">
            <x v="43"/>
          </reference>
          <reference field="2" count="1" selected="0">
            <x v="40"/>
          </reference>
          <reference field="3" count="1" selected="0">
            <x v="41"/>
          </reference>
          <reference field="4" count="1" selected="0">
            <x v="4"/>
          </reference>
          <reference field="10" count="1">
            <x v="17"/>
          </reference>
        </references>
      </pivotArea>
    </format>
    <format dxfId="22">
      <pivotArea dataOnly="0" labelOnly="1" fieldPosition="0">
        <references count="6">
          <reference field="0" count="1" selected="0">
            <x v="4"/>
          </reference>
          <reference field="1" count="1" selected="0">
            <x v="45"/>
          </reference>
          <reference field="2" count="1" selected="0">
            <x v="44"/>
          </reference>
          <reference field="3" count="1" selected="0">
            <x v="45"/>
          </reference>
          <reference field="4" count="1" selected="0">
            <x v="1"/>
          </reference>
          <reference field="10" count="1">
            <x v="4"/>
          </reference>
        </references>
      </pivotArea>
    </format>
    <format dxfId="21">
      <pivotArea dataOnly="0" labelOnly="1" fieldPosition="0">
        <references count="7">
          <reference field="0" count="1" selected="0">
            <x v="4"/>
          </reference>
          <reference field="1" count="1" selected="0">
            <x v="40"/>
          </reference>
          <reference field="2" count="1" selected="0">
            <x v="40"/>
          </reference>
          <reference field="3" count="1" selected="0">
            <x v="41"/>
          </reference>
          <reference field="4" count="1" selected="0">
            <x v="4"/>
          </reference>
          <reference field="10" count="1" selected="0">
            <x v="17"/>
          </reference>
          <reference field="11" count="1">
            <x v="29"/>
          </reference>
        </references>
      </pivotArea>
    </format>
    <format dxfId="20">
      <pivotArea dataOnly="0" labelOnly="1" fieldPosition="0">
        <references count="7">
          <reference field="0" count="1" selected="0">
            <x v="4"/>
          </reference>
          <reference field="1" count="1" selected="0">
            <x v="41"/>
          </reference>
          <reference field="2" count="1" selected="0">
            <x v="41"/>
          </reference>
          <reference field="3" count="1" selected="0">
            <x v="42"/>
          </reference>
          <reference field="4" count="1" selected="0">
            <x v="4"/>
          </reference>
          <reference field="10" count="1" selected="0">
            <x v="18"/>
          </reference>
          <reference field="11" count="1">
            <x v="30"/>
          </reference>
        </references>
      </pivotArea>
    </format>
    <format dxfId="19">
      <pivotArea dataOnly="0" labelOnly="1" fieldPosition="0">
        <references count="7">
          <reference field="0" count="1" selected="0">
            <x v="4"/>
          </reference>
          <reference field="1" count="1" selected="0">
            <x v="42"/>
          </reference>
          <reference field="2" count="1" selected="0">
            <x v="42"/>
          </reference>
          <reference field="3" count="1" selected="0">
            <x v="43"/>
          </reference>
          <reference field="4" count="1" selected="0">
            <x v="4"/>
          </reference>
          <reference field="10" count="1" selected="0">
            <x v="3"/>
          </reference>
          <reference field="11" count="1">
            <x v="31"/>
          </reference>
        </references>
      </pivotArea>
    </format>
    <format dxfId="18">
      <pivotArea dataOnly="0" labelOnly="1" fieldPosition="0">
        <references count="7">
          <reference field="0" count="1" selected="0">
            <x v="4"/>
          </reference>
          <reference field="1" count="1" selected="0">
            <x v="43"/>
          </reference>
          <reference field="2" count="1" selected="0">
            <x v="40"/>
          </reference>
          <reference field="3" count="1" selected="0">
            <x v="41"/>
          </reference>
          <reference field="4" count="1" selected="0">
            <x v="4"/>
          </reference>
          <reference field="10" count="1" selected="0">
            <x v="17"/>
          </reference>
          <reference field="11" count="1">
            <x v="29"/>
          </reference>
        </references>
      </pivotArea>
    </format>
    <format dxfId="17">
      <pivotArea dataOnly="0" labelOnly="1" fieldPosition="0">
        <references count="7">
          <reference field="0" count="1" selected="0">
            <x v="4"/>
          </reference>
          <reference field="1" count="1" selected="0">
            <x v="45"/>
          </reference>
          <reference field="2" count="1" selected="0">
            <x v="44"/>
          </reference>
          <reference field="3" count="1" selected="0">
            <x v="45"/>
          </reference>
          <reference field="4" count="1" selected="0">
            <x v="1"/>
          </reference>
          <reference field="10" count="1" selected="0">
            <x v="4"/>
          </reference>
          <reference field="11" count="1">
            <x v="4"/>
          </reference>
        </references>
      </pivotArea>
    </format>
    <format dxfId="16">
      <pivotArea dataOnly="0" labelOnly="1" fieldPosition="0">
        <references count="8">
          <reference field="0" count="1" selected="0">
            <x v="4"/>
          </reference>
          <reference field="1" count="1" selected="0">
            <x v="40"/>
          </reference>
          <reference field="2" count="1" selected="0">
            <x v="40"/>
          </reference>
          <reference field="3" count="1" selected="0">
            <x v="41"/>
          </reference>
          <reference field="4" count="1" selected="0">
            <x v="4"/>
          </reference>
          <reference field="10" count="1" selected="0">
            <x v="17"/>
          </reference>
          <reference field="11" count="1" selected="0">
            <x v="29"/>
          </reference>
          <reference field="12" count="1">
            <x v="34"/>
          </reference>
        </references>
      </pivotArea>
    </format>
    <format dxfId="15">
      <pivotArea dataOnly="0" labelOnly="1" fieldPosition="0">
        <references count="8">
          <reference field="0" count="1" selected="0">
            <x v="4"/>
          </reference>
          <reference field="1" count="1" selected="0">
            <x v="41"/>
          </reference>
          <reference field="2" count="1" selected="0">
            <x v="41"/>
          </reference>
          <reference field="3" count="1" selected="0">
            <x v="42"/>
          </reference>
          <reference field="4" count="1" selected="0">
            <x v="4"/>
          </reference>
          <reference field="10" count="1" selected="0">
            <x v="18"/>
          </reference>
          <reference field="11" count="1" selected="0">
            <x v="30"/>
          </reference>
          <reference field="12" count="1">
            <x v="35"/>
          </reference>
        </references>
      </pivotArea>
    </format>
    <format dxfId="14">
      <pivotArea dataOnly="0" labelOnly="1" fieldPosition="0">
        <references count="8">
          <reference field="0" count="1" selected="0">
            <x v="4"/>
          </reference>
          <reference field="1" count="1" selected="0">
            <x v="42"/>
          </reference>
          <reference field="2" count="1" selected="0">
            <x v="42"/>
          </reference>
          <reference field="3" count="1" selected="0">
            <x v="43"/>
          </reference>
          <reference field="4" count="1" selected="0">
            <x v="4"/>
          </reference>
          <reference field="10" count="1" selected="0">
            <x v="3"/>
          </reference>
          <reference field="11" count="1" selected="0">
            <x v="31"/>
          </reference>
          <reference field="12" count="1">
            <x v="36"/>
          </reference>
        </references>
      </pivotArea>
    </format>
    <format dxfId="13">
      <pivotArea dataOnly="0" labelOnly="1" fieldPosition="0">
        <references count="8">
          <reference field="0" count="1" selected="0">
            <x v="4"/>
          </reference>
          <reference field="1" count="1" selected="0">
            <x v="43"/>
          </reference>
          <reference field="2" count="1" selected="0">
            <x v="40"/>
          </reference>
          <reference field="3" count="1" selected="0">
            <x v="41"/>
          </reference>
          <reference field="4" count="1" selected="0">
            <x v="4"/>
          </reference>
          <reference field="10" count="1" selected="0">
            <x v="17"/>
          </reference>
          <reference field="11" count="1" selected="0">
            <x v="29"/>
          </reference>
          <reference field="12" count="1">
            <x v="37"/>
          </reference>
        </references>
      </pivotArea>
    </format>
    <format dxfId="1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">
      <pivotArea outline="0" collapsedLevelsAreSubtotals="1" fieldPosition="0"/>
    </format>
    <format dxfId="10">
      <pivotArea dataOnly="0" labelOnly="1" grandRow="1" outline="0" fieldPosition="0"/>
    </format>
    <format dxfId="9">
      <pivotArea field="12" type="button" dataOnly="0" labelOnly="1" outline="0" axis="axisRow" fieldPosition="7"/>
    </format>
    <format dxfId="8">
      <pivotArea dataOnly="0" labelOnly="1" fieldPosition="0">
        <references count="1">
          <reference field="0" count="1">
            <x v="4"/>
          </reference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8">
          <reference field="0" count="1" selected="0">
            <x v="4"/>
          </reference>
          <reference field="1" count="1" selected="0">
            <x v="39"/>
          </reference>
          <reference field="2" count="1" selected="0">
            <x v="40"/>
          </reference>
          <reference field="3" count="1" selected="0">
            <x v="40"/>
          </reference>
          <reference field="4" count="1" selected="0">
            <x v="4"/>
          </reference>
          <reference field="10" count="1" selected="0">
            <x v="3"/>
          </reference>
          <reference field="11" count="1" selected="0">
            <x v="3"/>
          </reference>
          <reference field="12" count="1">
            <x v="10"/>
          </reference>
        </references>
      </pivotArea>
    </format>
    <format dxfId="5">
      <pivotArea dataOnly="0" labelOnly="1" fieldPosition="0">
        <references count="8">
          <reference field="0" count="1" selected="0">
            <x v="4"/>
          </reference>
          <reference field="1" count="1" selected="0">
            <x v="40"/>
          </reference>
          <reference field="2" count="1" selected="0">
            <x v="40"/>
          </reference>
          <reference field="3" count="1" selected="0">
            <x v="41"/>
          </reference>
          <reference field="4" count="1" selected="0">
            <x v="4"/>
          </reference>
          <reference field="10" count="1" selected="0">
            <x v="17"/>
          </reference>
          <reference field="11" count="1" selected="0">
            <x v="29"/>
          </reference>
          <reference field="12" count="1">
            <x v="34"/>
          </reference>
        </references>
      </pivotArea>
    </format>
    <format dxfId="4">
      <pivotArea dataOnly="0" labelOnly="1" fieldPosition="0">
        <references count="8">
          <reference field="0" count="1" selected="0">
            <x v="4"/>
          </reference>
          <reference field="1" count="1" selected="0">
            <x v="41"/>
          </reference>
          <reference field="2" count="1" selected="0">
            <x v="41"/>
          </reference>
          <reference field="3" count="1" selected="0">
            <x v="42"/>
          </reference>
          <reference field="4" count="1" selected="0">
            <x v="4"/>
          </reference>
          <reference field="10" count="1" selected="0">
            <x v="18"/>
          </reference>
          <reference field="11" count="1" selected="0">
            <x v="30"/>
          </reference>
          <reference field="12" count="1">
            <x v="35"/>
          </reference>
        </references>
      </pivotArea>
    </format>
    <format dxfId="3">
      <pivotArea dataOnly="0" labelOnly="1" fieldPosition="0">
        <references count="8">
          <reference field="0" count="1" selected="0">
            <x v="4"/>
          </reference>
          <reference field="1" count="1" selected="0">
            <x v="42"/>
          </reference>
          <reference field="2" count="1" selected="0">
            <x v="42"/>
          </reference>
          <reference field="3" count="1" selected="0">
            <x v="43"/>
          </reference>
          <reference field="4" count="1" selected="0">
            <x v="4"/>
          </reference>
          <reference field="10" count="1" selected="0">
            <x v="3"/>
          </reference>
          <reference field="11" count="1" selected="0">
            <x v="31"/>
          </reference>
          <reference field="12" count="1">
            <x v="36"/>
          </reference>
        </references>
      </pivotArea>
    </format>
    <format dxfId="2">
      <pivotArea dataOnly="0" labelOnly="1" fieldPosition="0">
        <references count="8">
          <reference field="0" count="1" selected="0">
            <x v="4"/>
          </reference>
          <reference field="1" count="1" selected="0">
            <x v="43"/>
          </reference>
          <reference field="2" count="1" selected="0">
            <x v="40"/>
          </reference>
          <reference field="3" count="1" selected="0">
            <x v="41"/>
          </reference>
          <reference field="4" count="1" selected="0">
            <x v="4"/>
          </reference>
          <reference field="10" count="1" selected="0">
            <x v="17"/>
          </reference>
          <reference field="11" count="1" selected="0">
            <x v="29"/>
          </reference>
          <reference field="12" count="1">
            <x v="37"/>
          </reference>
        </references>
      </pivotArea>
    </format>
    <format dxfId="1">
      <pivotArea dataOnly="0" labelOnly="1" fieldPosition="0">
        <references count="8">
          <reference field="0" count="1" selected="0">
            <x v="4"/>
          </reference>
          <reference field="1" count="1" selected="0">
            <x v="45"/>
          </reference>
          <reference field="2" count="1" selected="0">
            <x v="44"/>
          </reference>
          <reference field="3" count="1" selected="0">
            <x v="45"/>
          </reference>
          <reference field="4" count="1" selected="0">
            <x v="1"/>
          </reference>
          <reference field="10" count="1" selected="0">
            <x v="4"/>
          </reference>
          <reference field="11" count="1" selected="0">
            <x v="4"/>
          </reference>
          <reference field="12" count="1">
            <x v="39"/>
          </reference>
        </references>
      </pivotArea>
    </format>
  </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 Cursos"/>
    <pivotHierarchy dragToData="1" caption=" Vagas"/>
    <pivotHierarchy dragToData="1" caption=" Matriculados"/>
    <pivotHierarchy dragToData="1" caption=" Qualificados"/>
    <pivotHierarchy dragToData="1" caption=" Ano"/>
  </pivotHierarchies>
  <pivotTableStyleInfo name="PivotStyleDark14" showRowHeaders="1" showColHeaders="1" showRowStripes="1" showColStripes="1" showLastColumn="1"/>
  <rowHierarchiesUsage count="8">
    <rowHierarchyUsage hierarchyUsage="7"/>
    <rowHierarchyUsage hierarchyUsage="8"/>
    <rowHierarchyUsage hierarchyUsage="10"/>
    <rowHierarchyUsage hierarchyUsage="11"/>
    <rowHierarchyUsage hierarchyUsage="12"/>
    <rowHierarchyUsage hierarchyUsage="14"/>
    <rowHierarchyUsage hierarchyUsage="15"/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lanilha7!$A$1:$J$64">
        <x15:activeTabTopLevelEntity name="[Interval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28F03-F526-4543-8827-C55BD93439D8}" name="Tabela dinâmica15" cacheId="1052" applyNumberFormats="0" applyBorderFormats="0" applyFontFormats="0" applyPatternFormats="0" applyAlignmentFormats="0" applyWidthHeightFormats="1" dataCaption="Valores" tag="68ee0478-0ba9-42c8-be17-d895d937dd70" updatedVersion="8" minRefreshableVersion="3" useAutoFormatting="1" itemPrintTitles="1" createdVersion="8" indent="0" outline="1" outlineData="1" multipleFieldFilters="0">
  <location ref="A3:C10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GERAL 2025" fld="1" baseField="0" baseItem="0" numFmtId="3"/>
    <dataField name="Soma de TOTAL GERAL 2026" fld="2" baseField="0" baseItem="0" numFmtId="3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lanilha3!$A$2:$G$30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763F02A-0C48-483F-BBE0-161EF58578E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c715eb6-fe49-4b48-8a57-5157a4167f5c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0028-B322-4335-A03C-9AA9B29E5EDC}">
  <dimension ref="A1:N14"/>
  <sheetViews>
    <sheetView workbookViewId="0">
      <selection activeCell="N3" sqref="N3"/>
    </sheetView>
  </sheetViews>
  <sheetFormatPr defaultRowHeight="15" x14ac:dyDescent="0.25"/>
  <cols>
    <col min="1" max="1" width="10.42578125" bestFit="1" customWidth="1"/>
    <col min="4" max="4" width="11.85546875" bestFit="1" customWidth="1"/>
  </cols>
  <sheetData>
    <row r="1" spans="1:14" x14ac:dyDescent="0.25">
      <c r="A1">
        <v>2024</v>
      </c>
      <c r="B1" t="s">
        <v>257</v>
      </c>
      <c r="C1" t="s">
        <v>258</v>
      </c>
      <c r="D1" t="s">
        <v>262</v>
      </c>
      <c r="E1" t="s">
        <v>263</v>
      </c>
      <c r="I1" t="s">
        <v>264</v>
      </c>
      <c r="J1" t="s">
        <v>265</v>
      </c>
      <c r="K1" t="s">
        <v>257</v>
      </c>
      <c r="L1" t="s">
        <v>262</v>
      </c>
      <c r="M1" t="s">
        <v>266</v>
      </c>
      <c r="N1" t="s">
        <v>263</v>
      </c>
    </row>
    <row r="2" spans="1:14" x14ac:dyDescent="0.25">
      <c r="A2" t="s">
        <v>256</v>
      </c>
      <c r="B2">
        <v>1960</v>
      </c>
      <c r="C2">
        <v>11</v>
      </c>
      <c r="D2">
        <v>241</v>
      </c>
      <c r="E2">
        <v>212</v>
      </c>
      <c r="J2">
        <v>1570</v>
      </c>
      <c r="K2">
        <v>804</v>
      </c>
      <c r="L2">
        <v>306</v>
      </c>
      <c r="M2">
        <v>13</v>
      </c>
      <c r="N2">
        <v>179</v>
      </c>
    </row>
    <row r="3" spans="1:14" x14ac:dyDescent="0.25">
      <c r="A3" t="s">
        <v>259</v>
      </c>
      <c r="B3">
        <v>1440</v>
      </c>
      <c r="C3">
        <v>9</v>
      </c>
    </row>
    <row r="4" spans="1:14" x14ac:dyDescent="0.25">
      <c r="A4" t="s">
        <v>260</v>
      </c>
      <c r="B4">
        <v>1200</v>
      </c>
    </row>
    <row r="5" spans="1:14" x14ac:dyDescent="0.25">
      <c r="A5" t="s">
        <v>261</v>
      </c>
      <c r="B5">
        <v>160</v>
      </c>
    </row>
    <row r="14" spans="1:14" x14ac:dyDescent="0.25">
      <c r="B14">
        <v>1560</v>
      </c>
      <c r="D14">
        <v>1131</v>
      </c>
      <c r="E14">
        <v>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41B1-61FB-4985-8291-60CA86D11F64}">
  <sheetPr codeName="Planilha2">
    <pageSetUpPr fitToPage="1"/>
  </sheetPr>
  <dimension ref="A1:G16"/>
  <sheetViews>
    <sheetView workbookViewId="0">
      <selection activeCell="G11" sqref="G11"/>
    </sheetView>
  </sheetViews>
  <sheetFormatPr defaultRowHeight="15" x14ac:dyDescent="0.25"/>
  <cols>
    <col min="1" max="1" width="15.5703125" bestFit="1" customWidth="1"/>
    <col min="2" max="2" width="27.140625" bestFit="1" customWidth="1"/>
    <col min="3" max="6" width="23.140625" bestFit="1" customWidth="1"/>
    <col min="7" max="7" width="31.28515625" bestFit="1" customWidth="1"/>
  </cols>
  <sheetData>
    <row r="1" spans="1:7" ht="21.75" thickBot="1" x14ac:dyDescent="0.3">
      <c r="A1" s="341" t="s">
        <v>111</v>
      </c>
      <c r="B1" s="342"/>
      <c r="C1" s="342"/>
      <c r="D1" s="342"/>
      <c r="E1" s="342"/>
      <c r="F1" s="342"/>
      <c r="G1" s="343"/>
    </row>
    <row r="2" spans="1:7" ht="19.5" thickBot="1" x14ac:dyDescent="0.3">
      <c r="A2" s="344"/>
      <c r="B2" s="345"/>
      <c r="C2" s="1" t="s">
        <v>90</v>
      </c>
      <c r="D2" s="1" t="s">
        <v>91</v>
      </c>
      <c r="E2" s="1" t="s">
        <v>92</v>
      </c>
      <c r="F2" s="1" t="s">
        <v>105</v>
      </c>
      <c r="G2" s="1" t="s">
        <v>113</v>
      </c>
    </row>
    <row r="3" spans="1:7" ht="19.5" thickBot="1" x14ac:dyDescent="0.3">
      <c r="A3" s="344" t="s">
        <v>96</v>
      </c>
      <c r="B3" s="345"/>
      <c r="C3" s="220">
        <f>total!I79</f>
        <v>11990</v>
      </c>
      <c r="D3" s="220">
        <f>total!I62</f>
        <v>16148</v>
      </c>
      <c r="E3" s="224">
        <f>total!I49</f>
        <v>15390</v>
      </c>
      <c r="F3" s="224">
        <f>total!I38</f>
        <v>57237</v>
      </c>
      <c r="G3" s="224">
        <f>SUM(C3:F3)</f>
        <v>100765</v>
      </c>
    </row>
    <row r="4" spans="1:7" ht="15.75" thickBot="1" x14ac:dyDescent="0.3"/>
    <row r="5" spans="1:7" ht="21.75" thickBot="1" x14ac:dyDescent="0.3">
      <c r="A5" s="351" t="s">
        <v>112</v>
      </c>
      <c r="B5" s="352"/>
      <c r="C5" s="352"/>
      <c r="D5" s="352"/>
      <c r="E5" s="352"/>
      <c r="F5" s="352"/>
      <c r="G5" s="353"/>
    </row>
    <row r="6" spans="1:7" ht="21.75" thickBot="1" x14ac:dyDescent="0.3">
      <c r="A6" s="308"/>
      <c r="B6" s="309"/>
      <c r="C6" s="302" t="s">
        <v>90</v>
      </c>
      <c r="D6" s="302" t="s">
        <v>91</v>
      </c>
      <c r="E6" s="302" t="s">
        <v>92</v>
      </c>
      <c r="F6" s="302" t="s">
        <v>105</v>
      </c>
      <c r="G6" s="302" t="s">
        <v>113</v>
      </c>
    </row>
    <row r="7" spans="1:7" ht="19.5" thickBot="1" x14ac:dyDescent="0.3">
      <c r="A7" s="354" t="s">
        <v>96</v>
      </c>
      <c r="B7" s="355"/>
      <c r="C7" s="303">
        <f>total!J79</f>
        <v>8397</v>
      </c>
      <c r="D7" s="303">
        <f>total!J62</f>
        <v>9438</v>
      </c>
      <c r="E7" s="304">
        <f>total!J49</f>
        <v>13595</v>
      </c>
      <c r="F7" s="304">
        <f>total!J38</f>
        <v>2441</v>
      </c>
      <c r="G7" s="304">
        <f>SUM(C7:F7)</f>
        <v>33871</v>
      </c>
    </row>
    <row r="8" spans="1:7" ht="15.75" thickBot="1" x14ac:dyDescent="0.3"/>
    <row r="9" spans="1:7" ht="21.75" thickBot="1" x14ac:dyDescent="0.3">
      <c r="A9" s="348" t="s">
        <v>114</v>
      </c>
      <c r="B9" s="349"/>
      <c r="C9" s="349"/>
      <c r="D9" s="349"/>
      <c r="E9" s="349"/>
      <c r="F9" s="349"/>
      <c r="G9" s="350"/>
    </row>
    <row r="10" spans="1:7" ht="19.5" thickBot="1" x14ac:dyDescent="0.3">
      <c r="A10" s="346"/>
      <c r="B10" s="347"/>
      <c r="C10" s="305" t="s">
        <v>90</v>
      </c>
      <c r="D10" s="305" t="s">
        <v>91</v>
      </c>
      <c r="E10" s="305" t="s">
        <v>92</v>
      </c>
      <c r="F10" s="305" t="s">
        <v>105</v>
      </c>
      <c r="G10" s="305" t="s">
        <v>113</v>
      </c>
    </row>
    <row r="11" spans="1:7" ht="19.5" thickBot="1" x14ac:dyDescent="0.3">
      <c r="A11" s="346" t="s">
        <v>96</v>
      </c>
      <c r="B11" s="347"/>
      <c r="C11" s="306">
        <f>total!K79</f>
        <v>3986</v>
      </c>
      <c r="D11" s="306">
        <f>total!K62</f>
        <v>5838</v>
      </c>
      <c r="E11" s="307">
        <f>total!K49</f>
        <v>6924</v>
      </c>
      <c r="F11" s="307">
        <f>total!K38</f>
        <v>1953</v>
      </c>
      <c r="G11" s="307">
        <f>SUM(C11:F11)</f>
        <v>18701</v>
      </c>
    </row>
    <row r="13" spans="1:7" ht="15.75" thickBot="1" x14ac:dyDescent="0.3"/>
    <row r="14" spans="1:7" ht="21.75" thickBot="1" x14ac:dyDescent="0.3">
      <c r="A14" s="341" t="s">
        <v>151</v>
      </c>
      <c r="B14" s="342"/>
      <c r="C14" s="342"/>
      <c r="D14" s="342"/>
      <c r="E14" s="342"/>
      <c r="F14" s="342"/>
      <c r="G14" s="343"/>
    </row>
    <row r="15" spans="1:7" ht="19.5" thickBot="1" x14ac:dyDescent="0.3">
      <c r="A15" s="344"/>
      <c r="B15" s="345"/>
      <c r="C15" s="1" t="s">
        <v>90</v>
      </c>
      <c r="D15" s="1" t="s">
        <v>91</v>
      </c>
      <c r="E15" s="1" t="s">
        <v>92</v>
      </c>
      <c r="F15" s="1" t="s">
        <v>105</v>
      </c>
      <c r="G15" s="1" t="s">
        <v>113</v>
      </c>
    </row>
    <row r="16" spans="1:7" ht="19.5" thickBot="1" x14ac:dyDescent="0.3">
      <c r="A16" s="344" t="s">
        <v>96</v>
      </c>
      <c r="B16" s="345"/>
      <c r="C16" s="220">
        <f>total!H79</f>
        <v>33</v>
      </c>
      <c r="D16" s="220">
        <f>total!H62</f>
        <v>119</v>
      </c>
      <c r="E16" s="224">
        <f>total!H49</f>
        <v>202</v>
      </c>
      <c r="F16" s="224">
        <f>total!H38</f>
        <v>359</v>
      </c>
      <c r="G16" s="224">
        <f>SUM(C16:F16)</f>
        <v>713</v>
      </c>
    </row>
  </sheetData>
  <mergeCells count="11">
    <mergeCell ref="A9:G9"/>
    <mergeCell ref="A3:B3"/>
    <mergeCell ref="A2:B2"/>
    <mergeCell ref="A1:G1"/>
    <mergeCell ref="A5:G5"/>
    <mergeCell ref="A7:B7"/>
    <mergeCell ref="A14:G14"/>
    <mergeCell ref="A15:B15"/>
    <mergeCell ref="A16:B16"/>
    <mergeCell ref="A10:B10"/>
    <mergeCell ref="A11:B11"/>
  </mergeCells>
  <pageMargins left="0.511811024" right="0.511811024" top="0.78740157499999996" bottom="0.78740157499999996" header="0.31496062000000002" footer="0.31496062000000002"/>
  <pageSetup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DAFB-9FA7-4E63-BF64-82C6D29E9667}">
  <sheetPr codeName="Planilha1">
    <pageSetUpPr autoPageBreaks="0"/>
  </sheetPr>
  <dimension ref="A1:AP79"/>
  <sheetViews>
    <sheetView topLeftCell="A39" zoomScale="85" zoomScaleNormal="85" workbookViewId="0">
      <selection sqref="A1:K79"/>
    </sheetView>
  </sheetViews>
  <sheetFormatPr defaultRowHeight="15" x14ac:dyDescent="0.25"/>
  <cols>
    <col min="1" max="1" width="94.28515625" bestFit="1" customWidth="1"/>
    <col min="2" max="2" width="19.140625" customWidth="1"/>
    <col min="3" max="3" width="31.5703125" customWidth="1"/>
    <col min="4" max="4" width="20.42578125" customWidth="1"/>
    <col min="5" max="5" width="16.85546875" customWidth="1"/>
    <col min="6" max="6" width="4.7109375" customWidth="1"/>
    <col min="7" max="7" width="24.140625" bestFit="1" customWidth="1"/>
    <col min="8" max="8" width="10" customWidth="1"/>
    <col min="10" max="10" width="12.7109375" bestFit="1" customWidth="1"/>
    <col min="11" max="11" width="12.42578125" bestFit="1" customWidth="1"/>
    <col min="29" max="29" width="69.140625" customWidth="1"/>
    <col min="30" max="30" width="9.28515625" customWidth="1"/>
    <col min="31" max="31" width="9.140625" customWidth="1"/>
    <col min="32" max="33" width="12.5703125" customWidth="1"/>
    <col min="34" max="34" width="12.28515625" customWidth="1"/>
    <col min="35" max="35" width="7.28515625" customWidth="1"/>
    <col min="36" max="36" width="5.140625" bestFit="1" customWidth="1"/>
    <col min="37" max="37" width="10.28515625" bestFit="1" customWidth="1"/>
    <col min="38" max="38" width="12.28515625" bestFit="1" customWidth="1"/>
    <col min="39" max="39" width="12.5703125" bestFit="1" customWidth="1"/>
    <col min="40" max="40" width="12.28515625" bestFit="1" customWidth="1"/>
    <col min="41" max="41" width="15.85546875" bestFit="1" customWidth="1"/>
  </cols>
  <sheetData>
    <row r="1" spans="1:41" ht="15.75" x14ac:dyDescent="0.25">
      <c r="A1" s="359" t="s">
        <v>110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AC1" s="356" t="s">
        <v>116</v>
      </c>
      <c r="AD1" s="356"/>
      <c r="AE1" s="356"/>
      <c r="AF1" s="356"/>
      <c r="AG1" s="356"/>
      <c r="AH1" s="356"/>
      <c r="AJ1" s="356" t="s">
        <v>98</v>
      </c>
      <c r="AK1" s="356"/>
      <c r="AL1" s="356"/>
      <c r="AM1" s="356"/>
      <c r="AN1" s="356"/>
      <c r="AO1" s="356"/>
    </row>
    <row r="2" spans="1:41" x14ac:dyDescent="0.25">
      <c r="A2" s="232" t="s">
        <v>51</v>
      </c>
      <c r="B2" s="232" t="s">
        <v>97</v>
      </c>
      <c r="C2" s="232" t="s">
        <v>121</v>
      </c>
      <c r="D2" s="232" t="s">
        <v>122</v>
      </c>
      <c r="E2" s="232" t="s">
        <v>120</v>
      </c>
      <c r="F2" s="232" t="s">
        <v>285</v>
      </c>
      <c r="G2" s="232" t="s">
        <v>286</v>
      </c>
      <c r="H2" s="232" t="s">
        <v>63</v>
      </c>
      <c r="I2" s="232" t="s">
        <v>48</v>
      </c>
      <c r="J2" s="232" t="s">
        <v>50</v>
      </c>
      <c r="K2" s="232" t="s">
        <v>49</v>
      </c>
      <c r="AC2" s="209" t="s">
        <v>51</v>
      </c>
      <c r="AD2" s="209" t="s">
        <v>97</v>
      </c>
      <c r="AE2" s="209" t="s">
        <v>63</v>
      </c>
      <c r="AF2" s="209" t="s">
        <v>48</v>
      </c>
      <c r="AG2" s="209" t="s">
        <v>50</v>
      </c>
      <c r="AH2" s="209" t="s">
        <v>49</v>
      </c>
      <c r="AJ2" s="209" t="s">
        <v>97</v>
      </c>
      <c r="AK2" s="209" t="s">
        <v>63</v>
      </c>
      <c r="AL2" s="209" t="s">
        <v>48</v>
      </c>
      <c r="AM2" s="209" t="s">
        <v>50</v>
      </c>
      <c r="AN2" s="209" t="s">
        <v>49</v>
      </c>
      <c r="AO2" s="209" t="s">
        <v>103</v>
      </c>
    </row>
    <row r="3" spans="1:41" x14ac:dyDescent="0.25">
      <c r="A3" s="205" t="s">
        <v>139</v>
      </c>
      <c r="B3" s="227">
        <v>2026</v>
      </c>
      <c r="C3" s="227" t="s">
        <v>123</v>
      </c>
      <c r="D3" s="227" t="s">
        <v>124</v>
      </c>
      <c r="E3" s="227" t="s">
        <v>175</v>
      </c>
      <c r="F3" s="227" t="s">
        <v>287</v>
      </c>
      <c r="G3" s="227" t="s">
        <v>303</v>
      </c>
      <c r="H3" s="206">
        <v>4</v>
      </c>
      <c r="I3" s="206">
        <v>900</v>
      </c>
      <c r="J3" s="206">
        <v>646</v>
      </c>
      <c r="K3" s="206">
        <v>311</v>
      </c>
      <c r="AC3" s="205" t="s">
        <v>139</v>
      </c>
      <c r="AD3" s="227">
        <f t="shared" ref="AD3:AD37" si="0">B3</f>
        <v>2026</v>
      </c>
      <c r="AE3" s="206">
        <f>H3</f>
        <v>4</v>
      </c>
      <c r="AF3" s="206">
        <f t="shared" ref="AF3:AH3" si="1">I3</f>
        <v>900</v>
      </c>
      <c r="AG3" s="206">
        <f t="shared" si="1"/>
        <v>646</v>
      </c>
      <c r="AH3" s="206">
        <f t="shared" si="1"/>
        <v>311</v>
      </c>
      <c r="AJ3" s="228">
        <v>2023</v>
      </c>
      <c r="AK3" s="230">
        <f>H79</f>
        <v>33</v>
      </c>
      <c r="AL3" s="230">
        <f t="shared" ref="AL3:AM3" si="2">I79</f>
        <v>11990</v>
      </c>
      <c r="AM3" s="230">
        <f t="shared" si="2"/>
        <v>8397</v>
      </c>
      <c r="AN3" s="230">
        <f>K79</f>
        <v>3986</v>
      </c>
      <c r="AO3" s="230" t="s">
        <v>104</v>
      </c>
    </row>
    <row r="4" spans="1:41" x14ac:dyDescent="0.25">
      <c r="A4" s="205" t="s">
        <v>152</v>
      </c>
      <c r="B4" s="227">
        <v>2026</v>
      </c>
      <c r="C4" s="227" t="s">
        <v>163</v>
      </c>
      <c r="D4" s="227" t="s">
        <v>174</v>
      </c>
      <c r="E4" s="227" t="s">
        <v>175</v>
      </c>
      <c r="F4" s="227" t="s">
        <v>287</v>
      </c>
      <c r="G4" s="227" t="s">
        <v>303</v>
      </c>
      <c r="H4" s="206">
        <v>4</v>
      </c>
      <c r="I4" s="206">
        <v>400</v>
      </c>
      <c r="J4" s="206"/>
      <c r="K4" s="206"/>
      <c r="AC4" s="205" t="s">
        <v>152</v>
      </c>
      <c r="AD4" s="227">
        <f t="shared" si="0"/>
        <v>2026</v>
      </c>
      <c r="AE4" s="206">
        <f t="shared" ref="AE4:AE37" si="3">H4</f>
        <v>4</v>
      </c>
      <c r="AF4" s="206">
        <f t="shared" ref="AF4:AF37" si="4">I4</f>
        <v>400</v>
      </c>
      <c r="AG4" s="206">
        <f t="shared" ref="AG4:AG37" si="5">J4</f>
        <v>0</v>
      </c>
      <c r="AH4" s="206">
        <f t="shared" ref="AH4:AH37" si="6">K4</f>
        <v>0</v>
      </c>
      <c r="AJ4" s="228">
        <v>2024</v>
      </c>
      <c r="AK4" s="230">
        <f>H62</f>
        <v>119</v>
      </c>
      <c r="AL4" s="230">
        <f t="shared" ref="AL4:AN4" si="7">I62</f>
        <v>16148</v>
      </c>
      <c r="AM4" s="230">
        <f t="shared" si="7"/>
        <v>9438</v>
      </c>
      <c r="AN4" s="230">
        <f t="shared" si="7"/>
        <v>5838</v>
      </c>
      <c r="AO4" s="230" t="s">
        <v>104</v>
      </c>
    </row>
    <row r="5" spans="1:41" x14ac:dyDescent="0.25">
      <c r="A5" s="205" t="s">
        <v>153</v>
      </c>
      <c r="B5" s="227">
        <v>2026</v>
      </c>
      <c r="C5" s="227" t="s">
        <v>164</v>
      </c>
      <c r="D5" s="227" t="s">
        <v>176</v>
      </c>
      <c r="E5" s="227" t="s">
        <v>177</v>
      </c>
      <c r="F5" s="227" t="s">
        <v>288</v>
      </c>
      <c r="G5" s="227" t="s">
        <v>32</v>
      </c>
      <c r="H5" s="206">
        <v>1</v>
      </c>
      <c r="I5" s="206">
        <v>600</v>
      </c>
      <c r="J5" s="206"/>
      <c r="K5" s="206"/>
      <c r="AC5" s="205" t="s">
        <v>153</v>
      </c>
      <c r="AD5" s="227">
        <f t="shared" si="0"/>
        <v>2026</v>
      </c>
      <c r="AE5" s="206">
        <f t="shared" si="3"/>
        <v>1</v>
      </c>
      <c r="AF5" s="206">
        <f t="shared" si="4"/>
        <v>600</v>
      </c>
      <c r="AG5" s="206">
        <f t="shared" si="5"/>
        <v>0</v>
      </c>
      <c r="AH5" s="206">
        <f t="shared" si="6"/>
        <v>0</v>
      </c>
      <c r="AJ5" s="228">
        <v>2025</v>
      </c>
      <c r="AK5" s="230">
        <f>H49</f>
        <v>202</v>
      </c>
      <c r="AL5" s="230">
        <f t="shared" ref="AL5:AN5" si="8">I49</f>
        <v>15390</v>
      </c>
      <c r="AM5" s="230">
        <f t="shared" si="8"/>
        <v>13595</v>
      </c>
      <c r="AN5" s="230">
        <f t="shared" si="8"/>
        <v>6924</v>
      </c>
      <c r="AO5" s="230" t="s">
        <v>104</v>
      </c>
    </row>
    <row r="6" spans="1:41" x14ac:dyDescent="0.25">
      <c r="A6" s="205" t="s">
        <v>154</v>
      </c>
      <c r="B6" s="227">
        <v>2026</v>
      </c>
      <c r="C6" s="227" t="s">
        <v>165</v>
      </c>
      <c r="D6" s="227" t="s">
        <v>178</v>
      </c>
      <c r="E6" s="227" t="s">
        <v>177</v>
      </c>
      <c r="F6" s="227" t="s">
        <v>289</v>
      </c>
      <c r="G6" s="227" t="s">
        <v>304</v>
      </c>
      <c r="H6" s="206">
        <v>3</v>
      </c>
      <c r="I6" s="206">
        <v>400</v>
      </c>
      <c r="J6" s="206"/>
      <c r="K6" s="206"/>
      <c r="AC6" s="205" t="s">
        <v>154</v>
      </c>
      <c r="AD6" s="227">
        <f t="shared" si="0"/>
        <v>2026</v>
      </c>
      <c r="AE6" s="206">
        <f t="shared" si="3"/>
        <v>3</v>
      </c>
      <c r="AF6" s="206">
        <f t="shared" si="4"/>
        <v>400</v>
      </c>
      <c r="AG6" s="206">
        <f t="shared" si="5"/>
        <v>0</v>
      </c>
      <c r="AH6" s="206">
        <f t="shared" si="6"/>
        <v>0</v>
      </c>
      <c r="AJ6" s="228">
        <v>2026</v>
      </c>
      <c r="AK6" s="230">
        <f>H38</f>
        <v>359</v>
      </c>
      <c r="AL6" s="230">
        <f t="shared" ref="AL6:AN6" si="9">I38</f>
        <v>57237</v>
      </c>
      <c r="AM6" s="230">
        <f t="shared" si="9"/>
        <v>2441</v>
      </c>
      <c r="AN6" s="230">
        <f t="shared" si="9"/>
        <v>1953</v>
      </c>
      <c r="AO6" s="228">
        <v>4</v>
      </c>
    </row>
    <row r="7" spans="1:41" x14ac:dyDescent="0.25">
      <c r="A7" s="205" t="s">
        <v>155</v>
      </c>
      <c r="B7" s="227">
        <v>2026</v>
      </c>
      <c r="C7" s="227" t="s">
        <v>166</v>
      </c>
      <c r="D7" s="227" t="s">
        <v>179</v>
      </c>
      <c r="E7" s="227" t="s">
        <v>177</v>
      </c>
      <c r="F7" s="227" t="s">
        <v>288</v>
      </c>
      <c r="G7" s="227" t="s">
        <v>32</v>
      </c>
      <c r="H7" s="206">
        <v>1</v>
      </c>
      <c r="I7" s="206">
        <v>4800</v>
      </c>
      <c r="J7" s="206"/>
      <c r="K7" s="206"/>
      <c r="AC7" s="205" t="s">
        <v>155</v>
      </c>
      <c r="AD7" s="227">
        <f t="shared" si="0"/>
        <v>2026</v>
      </c>
      <c r="AE7" s="206">
        <f t="shared" si="3"/>
        <v>1</v>
      </c>
      <c r="AF7" s="206">
        <f t="shared" si="4"/>
        <v>4800</v>
      </c>
      <c r="AG7" s="206">
        <f t="shared" si="5"/>
        <v>0</v>
      </c>
      <c r="AH7" s="206">
        <f t="shared" si="6"/>
        <v>0</v>
      </c>
    </row>
    <row r="8" spans="1:41" x14ac:dyDescent="0.25">
      <c r="A8" s="205" t="s">
        <v>156</v>
      </c>
      <c r="B8" s="227">
        <v>2026</v>
      </c>
      <c r="C8" s="227" t="s">
        <v>167</v>
      </c>
      <c r="D8" s="227" t="s">
        <v>180</v>
      </c>
      <c r="E8" s="227" t="s">
        <v>177</v>
      </c>
      <c r="F8" s="227" t="s">
        <v>290</v>
      </c>
      <c r="G8" s="227" t="s">
        <v>13</v>
      </c>
      <c r="H8" s="206">
        <v>25</v>
      </c>
      <c r="I8" s="206">
        <v>15640</v>
      </c>
      <c r="J8" s="206"/>
      <c r="K8" s="206"/>
      <c r="Y8" s="110"/>
      <c r="Z8" s="110"/>
      <c r="AC8" s="205" t="s">
        <v>156</v>
      </c>
      <c r="AD8" s="227">
        <f t="shared" si="0"/>
        <v>2026</v>
      </c>
      <c r="AE8" s="206">
        <f t="shared" si="3"/>
        <v>25</v>
      </c>
      <c r="AF8" s="206">
        <f t="shared" si="4"/>
        <v>15640</v>
      </c>
      <c r="AG8" s="206">
        <f t="shared" si="5"/>
        <v>0</v>
      </c>
      <c r="AH8" s="206">
        <f t="shared" si="6"/>
        <v>0</v>
      </c>
    </row>
    <row r="9" spans="1:41" x14ac:dyDescent="0.25">
      <c r="A9" s="205" t="s">
        <v>157</v>
      </c>
      <c r="B9" s="227">
        <v>2026</v>
      </c>
      <c r="C9" s="227" t="s">
        <v>168</v>
      </c>
      <c r="D9" s="227" t="s">
        <v>181</v>
      </c>
      <c r="E9" s="227" t="s">
        <v>177</v>
      </c>
      <c r="F9" s="227" t="s">
        <v>291</v>
      </c>
      <c r="G9" s="227" t="s">
        <v>16</v>
      </c>
      <c r="H9" s="206">
        <v>4</v>
      </c>
      <c r="I9" s="206">
        <v>3200</v>
      </c>
      <c r="J9" s="206">
        <v>1795</v>
      </c>
      <c r="K9" s="206">
        <v>1642</v>
      </c>
      <c r="AC9" s="205" t="s">
        <v>157</v>
      </c>
      <c r="AD9" s="227">
        <f t="shared" si="0"/>
        <v>2026</v>
      </c>
      <c r="AE9" s="206">
        <f t="shared" si="3"/>
        <v>4</v>
      </c>
      <c r="AF9" s="206">
        <f t="shared" si="4"/>
        <v>3200</v>
      </c>
      <c r="AG9" s="206">
        <f t="shared" si="5"/>
        <v>1795</v>
      </c>
      <c r="AH9" s="206">
        <f t="shared" si="6"/>
        <v>1642</v>
      </c>
    </row>
    <row r="10" spans="1:41" x14ac:dyDescent="0.25">
      <c r="A10" s="205" t="s">
        <v>158</v>
      </c>
      <c r="B10" s="227">
        <v>2026</v>
      </c>
      <c r="C10" s="227" t="s">
        <v>169</v>
      </c>
      <c r="D10" s="227" t="s">
        <v>182</v>
      </c>
      <c r="E10" s="227" t="s">
        <v>177</v>
      </c>
      <c r="F10" s="227" t="s">
        <v>292</v>
      </c>
      <c r="G10" s="227" t="s">
        <v>308</v>
      </c>
      <c r="H10" s="206">
        <v>1</v>
      </c>
      <c r="I10" s="206">
        <v>300</v>
      </c>
      <c r="J10" s="206"/>
      <c r="K10" s="206"/>
      <c r="Z10" s="226"/>
      <c r="AC10" s="205" t="s">
        <v>158</v>
      </c>
      <c r="AD10" s="227">
        <f t="shared" si="0"/>
        <v>2026</v>
      </c>
      <c r="AE10" s="206">
        <f t="shared" si="3"/>
        <v>1</v>
      </c>
      <c r="AF10" s="206">
        <f t="shared" si="4"/>
        <v>300</v>
      </c>
      <c r="AG10" s="206">
        <f t="shared" si="5"/>
        <v>0</v>
      </c>
      <c r="AH10" s="206">
        <f t="shared" si="6"/>
        <v>0</v>
      </c>
      <c r="AL10" s="311"/>
    </row>
    <row r="11" spans="1:41" x14ac:dyDescent="0.25">
      <c r="A11" s="205" t="s">
        <v>159</v>
      </c>
      <c r="B11" s="227">
        <v>2026</v>
      </c>
      <c r="C11" s="227" t="s">
        <v>170</v>
      </c>
      <c r="D11" s="227" t="s">
        <v>183</v>
      </c>
      <c r="E11" s="227" t="s">
        <v>177</v>
      </c>
      <c r="F11" s="227" t="s">
        <v>290</v>
      </c>
      <c r="G11" s="227" t="s">
        <v>309</v>
      </c>
      <c r="H11" s="206">
        <v>11</v>
      </c>
      <c r="I11" s="206">
        <v>440</v>
      </c>
      <c r="J11" s="206"/>
      <c r="K11" s="206"/>
      <c r="AC11" s="205" t="s">
        <v>159</v>
      </c>
      <c r="AD11" s="227">
        <f t="shared" si="0"/>
        <v>2026</v>
      </c>
      <c r="AE11" s="206">
        <f t="shared" si="3"/>
        <v>11</v>
      </c>
      <c r="AF11" s="206">
        <f t="shared" si="4"/>
        <v>440</v>
      </c>
      <c r="AG11" s="206">
        <f t="shared" si="5"/>
        <v>0</v>
      </c>
      <c r="AH11" s="206">
        <f t="shared" si="6"/>
        <v>0</v>
      </c>
    </row>
    <row r="12" spans="1:41" x14ac:dyDescent="0.25">
      <c r="A12" s="205" t="s">
        <v>160</v>
      </c>
      <c r="B12" s="227">
        <v>2026</v>
      </c>
      <c r="C12" s="227" t="s">
        <v>171</v>
      </c>
      <c r="D12" s="227" t="s">
        <v>184</v>
      </c>
      <c r="E12" s="227" t="s">
        <v>177</v>
      </c>
      <c r="F12" s="227" t="s">
        <v>290</v>
      </c>
      <c r="G12" s="227" t="s">
        <v>310</v>
      </c>
      <c r="H12" s="206">
        <v>6</v>
      </c>
      <c r="I12" s="206">
        <v>180</v>
      </c>
      <c r="J12" s="206"/>
      <c r="K12" s="206"/>
      <c r="AC12" s="205" t="s">
        <v>160</v>
      </c>
      <c r="AD12" s="227">
        <f t="shared" si="0"/>
        <v>2026</v>
      </c>
      <c r="AE12" s="206">
        <f t="shared" si="3"/>
        <v>6</v>
      </c>
      <c r="AF12" s="206">
        <f t="shared" si="4"/>
        <v>180</v>
      </c>
      <c r="AG12" s="206">
        <f t="shared" si="5"/>
        <v>0</v>
      </c>
      <c r="AH12" s="206">
        <f t="shared" si="6"/>
        <v>0</v>
      </c>
    </row>
    <row r="13" spans="1:41" x14ac:dyDescent="0.25">
      <c r="A13" s="205" t="s">
        <v>161</v>
      </c>
      <c r="B13" s="227">
        <v>2026</v>
      </c>
      <c r="C13" s="227" t="s">
        <v>172</v>
      </c>
      <c r="D13" s="227" t="s">
        <v>185</v>
      </c>
      <c r="E13" s="227" t="s">
        <v>177</v>
      </c>
      <c r="F13" s="227" t="s">
        <v>288</v>
      </c>
      <c r="G13" s="227" t="s">
        <v>32</v>
      </c>
      <c r="H13" s="206">
        <v>6</v>
      </c>
      <c r="I13" s="206">
        <v>840</v>
      </c>
      <c r="J13" s="206"/>
      <c r="K13" s="206"/>
      <c r="AC13" s="205" t="s">
        <v>161</v>
      </c>
      <c r="AD13" s="227">
        <f t="shared" si="0"/>
        <v>2026</v>
      </c>
      <c r="AE13" s="206">
        <f t="shared" si="3"/>
        <v>6</v>
      </c>
      <c r="AF13" s="206">
        <f t="shared" si="4"/>
        <v>840</v>
      </c>
      <c r="AG13" s="206">
        <f t="shared" si="5"/>
        <v>0</v>
      </c>
      <c r="AH13" s="206">
        <f t="shared" si="6"/>
        <v>0</v>
      </c>
      <c r="AM13" s="312"/>
    </row>
    <row r="14" spans="1:41" x14ac:dyDescent="0.25">
      <c r="A14" s="205" t="s">
        <v>162</v>
      </c>
      <c r="B14" s="227">
        <v>2026</v>
      </c>
      <c r="C14" s="227" t="s">
        <v>173</v>
      </c>
      <c r="D14" s="227" t="s">
        <v>186</v>
      </c>
      <c r="E14" s="227" t="s">
        <v>175</v>
      </c>
      <c r="F14" s="227" t="s">
        <v>287</v>
      </c>
      <c r="G14" s="227" t="s">
        <v>303</v>
      </c>
      <c r="H14" s="206">
        <v>3</v>
      </c>
      <c r="I14" s="206">
        <v>1640</v>
      </c>
      <c r="J14" s="206"/>
      <c r="K14" s="206"/>
      <c r="AC14" s="205" t="s">
        <v>162</v>
      </c>
      <c r="AD14" s="227">
        <f t="shared" si="0"/>
        <v>2026</v>
      </c>
      <c r="AE14" s="206">
        <f t="shared" si="3"/>
        <v>3</v>
      </c>
      <c r="AF14" s="206">
        <f t="shared" si="4"/>
        <v>1640</v>
      </c>
      <c r="AG14" s="206">
        <f t="shared" si="5"/>
        <v>0</v>
      </c>
      <c r="AH14" s="206">
        <f t="shared" si="6"/>
        <v>0</v>
      </c>
    </row>
    <row r="15" spans="1:41" x14ac:dyDescent="0.25">
      <c r="A15" s="205" t="s">
        <v>188</v>
      </c>
      <c r="B15" s="227">
        <v>2026</v>
      </c>
      <c r="C15" s="227" t="s">
        <v>189</v>
      </c>
      <c r="D15" s="227" t="s">
        <v>190</v>
      </c>
      <c r="E15" s="227" t="s">
        <v>175</v>
      </c>
      <c r="F15" s="227" t="s">
        <v>287</v>
      </c>
      <c r="G15" s="227" t="s">
        <v>303</v>
      </c>
      <c r="H15" s="206">
        <v>2</v>
      </c>
      <c r="I15" s="206">
        <v>1640</v>
      </c>
      <c r="J15" s="206"/>
      <c r="K15" s="206"/>
      <c r="AC15" s="205" t="s">
        <v>188</v>
      </c>
      <c r="AD15" s="227">
        <f t="shared" si="0"/>
        <v>2026</v>
      </c>
      <c r="AE15" s="206">
        <f t="shared" si="3"/>
        <v>2</v>
      </c>
      <c r="AF15" s="206">
        <f t="shared" si="4"/>
        <v>1640</v>
      </c>
      <c r="AG15" s="206">
        <f t="shared" si="5"/>
        <v>0</v>
      </c>
      <c r="AH15" s="206">
        <f t="shared" si="6"/>
        <v>0</v>
      </c>
    </row>
    <row r="16" spans="1:41" x14ac:dyDescent="0.25">
      <c r="A16" s="205" t="s">
        <v>191</v>
      </c>
      <c r="B16" s="227">
        <v>2026</v>
      </c>
      <c r="C16" s="227" t="s">
        <v>192</v>
      </c>
      <c r="D16" s="227" t="s">
        <v>193</v>
      </c>
      <c r="E16" s="227" t="s">
        <v>177</v>
      </c>
      <c r="F16" s="227" t="s">
        <v>293</v>
      </c>
      <c r="G16" s="227" t="s">
        <v>311</v>
      </c>
      <c r="H16" s="206">
        <v>13</v>
      </c>
      <c r="I16" s="206">
        <v>275</v>
      </c>
      <c r="J16" s="206"/>
      <c r="K16" s="206"/>
      <c r="AC16" s="205" t="s">
        <v>191</v>
      </c>
      <c r="AD16" s="227">
        <f t="shared" si="0"/>
        <v>2026</v>
      </c>
      <c r="AE16" s="206">
        <f t="shared" si="3"/>
        <v>13</v>
      </c>
      <c r="AF16" s="206">
        <f t="shared" si="4"/>
        <v>275</v>
      </c>
      <c r="AG16" s="206">
        <f t="shared" si="5"/>
        <v>0</v>
      </c>
      <c r="AH16" s="206">
        <f t="shared" si="6"/>
        <v>0</v>
      </c>
    </row>
    <row r="17" spans="1:37" x14ac:dyDescent="0.25">
      <c r="A17" s="205" t="s">
        <v>194</v>
      </c>
      <c r="B17" s="227">
        <v>2026</v>
      </c>
      <c r="C17" s="227" t="s">
        <v>195</v>
      </c>
      <c r="D17" s="227" t="s">
        <v>196</v>
      </c>
      <c r="E17" s="227" t="s">
        <v>177</v>
      </c>
      <c r="F17" s="227" t="s">
        <v>288</v>
      </c>
      <c r="G17" s="227" t="s">
        <v>312</v>
      </c>
      <c r="H17" s="206">
        <v>23</v>
      </c>
      <c r="I17" s="206">
        <v>592</v>
      </c>
      <c r="J17" s="206"/>
      <c r="K17" s="206"/>
      <c r="AC17" s="205" t="s">
        <v>194</v>
      </c>
      <c r="AD17" s="227">
        <f t="shared" si="0"/>
        <v>2026</v>
      </c>
      <c r="AE17" s="206">
        <f t="shared" si="3"/>
        <v>23</v>
      </c>
      <c r="AF17" s="206">
        <f t="shared" si="4"/>
        <v>592</v>
      </c>
      <c r="AG17" s="206">
        <f t="shared" si="5"/>
        <v>0</v>
      </c>
      <c r="AH17" s="206">
        <f t="shared" si="6"/>
        <v>0</v>
      </c>
    </row>
    <row r="18" spans="1:37" x14ac:dyDescent="0.25">
      <c r="A18" s="205" t="s">
        <v>197</v>
      </c>
      <c r="B18" s="227">
        <v>2026</v>
      </c>
      <c r="C18" s="227" t="s">
        <v>198</v>
      </c>
      <c r="D18" s="227" t="s">
        <v>199</v>
      </c>
      <c r="E18" s="227" t="s">
        <v>177</v>
      </c>
      <c r="F18" s="227" t="s">
        <v>291</v>
      </c>
      <c r="G18" s="227" t="s">
        <v>305</v>
      </c>
      <c r="H18" s="206">
        <v>20</v>
      </c>
      <c r="I18" s="206">
        <v>800</v>
      </c>
      <c r="J18" s="206"/>
      <c r="K18" s="206"/>
      <c r="AC18" s="205" t="s">
        <v>197</v>
      </c>
      <c r="AD18" s="227">
        <f t="shared" si="0"/>
        <v>2026</v>
      </c>
      <c r="AE18" s="206">
        <f t="shared" si="3"/>
        <v>20</v>
      </c>
      <c r="AF18" s="206">
        <f t="shared" si="4"/>
        <v>800</v>
      </c>
      <c r="AG18" s="206">
        <f t="shared" si="5"/>
        <v>0</v>
      </c>
      <c r="AH18" s="206">
        <f t="shared" si="6"/>
        <v>0</v>
      </c>
    </row>
    <row r="19" spans="1:37" x14ac:dyDescent="0.25">
      <c r="A19" s="205" t="s">
        <v>200</v>
      </c>
      <c r="B19" s="227">
        <v>2026</v>
      </c>
      <c r="C19" s="227" t="s">
        <v>201</v>
      </c>
      <c r="D19" s="227" t="s">
        <v>202</v>
      </c>
      <c r="E19" s="227" t="s">
        <v>177</v>
      </c>
      <c r="F19" s="227" t="s">
        <v>291</v>
      </c>
      <c r="G19" s="227" t="s">
        <v>305</v>
      </c>
      <c r="H19" s="206">
        <v>20</v>
      </c>
      <c r="I19" s="206">
        <v>220</v>
      </c>
      <c r="J19" s="206"/>
      <c r="K19" s="206"/>
      <c r="L19" s="315"/>
      <c r="AC19" s="205" t="s">
        <v>200</v>
      </c>
      <c r="AD19" s="227">
        <f t="shared" si="0"/>
        <v>2026</v>
      </c>
      <c r="AE19" s="206">
        <f t="shared" si="3"/>
        <v>20</v>
      </c>
      <c r="AF19" s="206">
        <f t="shared" si="4"/>
        <v>220</v>
      </c>
      <c r="AG19" s="206">
        <f t="shared" si="5"/>
        <v>0</v>
      </c>
      <c r="AH19" s="206">
        <f t="shared" si="6"/>
        <v>0</v>
      </c>
      <c r="AK19" s="311"/>
    </row>
    <row r="20" spans="1:37" x14ac:dyDescent="0.25">
      <c r="A20" s="205" t="s">
        <v>203</v>
      </c>
      <c r="B20" s="227">
        <v>2026</v>
      </c>
      <c r="C20" s="227" t="s">
        <v>204</v>
      </c>
      <c r="D20" s="227" t="s">
        <v>205</v>
      </c>
      <c r="E20" s="227" t="s">
        <v>177</v>
      </c>
      <c r="F20" s="227" t="s">
        <v>291</v>
      </c>
      <c r="G20" s="227" t="s">
        <v>305</v>
      </c>
      <c r="H20" s="206">
        <v>20</v>
      </c>
      <c r="I20" s="206">
        <v>1620</v>
      </c>
      <c r="J20" s="206"/>
      <c r="K20" s="206"/>
      <c r="AC20" s="205" t="s">
        <v>203</v>
      </c>
      <c r="AD20" s="227">
        <f t="shared" si="0"/>
        <v>2026</v>
      </c>
      <c r="AE20" s="206">
        <f t="shared" si="3"/>
        <v>20</v>
      </c>
      <c r="AF20" s="206">
        <f t="shared" si="4"/>
        <v>1620</v>
      </c>
      <c r="AG20" s="206">
        <f t="shared" si="5"/>
        <v>0</v>
      </c>
      <c r="AH20" s="206">
        <f t="shared" si="6"/>
        <v>0</v>
      </c>
    </row>
    <row r="21" spans="1:37" x14ac:dyDescent="0.25">
      <c r="A21" s="205" t="s">
        <v>206</v>
      </c>
      <c r="B21" s="227">
        <v>2026</v>
      </c>
      <c r="C21" s="227" t="s">
        <v>207</v>
      </c>
      <c r="D21" s="227" t="s">
        <v>208</v>
      </c>
      <c r="E21" s="227" t="s">
        <v>177</v>
      </c>
      <c r="F21" s="227" t="s">
        <v>288</v>
      </c>
      <c r="G21" s="227" t="s">
        <v>313</v>
      </c>
      <c r="H21" s="206">
        <v>3</v>
      </c>
      <c r="I21" s="206">
        <v>150</v>
      </c>
      <c r="J21" s="206"/>
      <c r="K21" s="206"/>
      <c r="AC21" s="205" t="s">
        <v>206</v>
      </c>
      <c r="AD21" s="227">
        <f t="shared" si="0"/>
        <v>2026</v>
      </c>
      <c r="AE21" s="206">
        <f t="shared" si="3"/>
        <v>3</v>
      </c>
      <c r="AF21" s="206">
        <f t="shared" si="4"/>
        <v>150</v>
      </c>
      <c r="AG21" s="206">
        <f t="shared" si="5"/>
        <v>0</v>
      </c>
      <c r="AH21" s="206">
        <f t="shared" si="6"/>
        <v>0</v>
      </c>
    </row>
    <row r="22" spans="1:37" x14ac:dyDescent="0.25">
      <c r="A22" s="205" t="s">
        <v>209</v>
      </c>
      <c r="B22" s="227">
        <v>2026</v>
      </c>
      <c r="C22" s="227" t="s">
        <v>210</v>
      </c>
      <c r="D22" s="227" t="s">
        <v>211</v>
      </c>
      <c r="E22" s="227" t="s">
        <v>177</v>
      </c>
      <c r="F22" s="227" t="s">
        <v>294</v>
      </c>
      <c r="G22" s="227" t="s">
        <v>314</v>
      </c>
      <c r="H22" s="206">
        <v>23</v>
      </c>
      <c r="I22" s="206">
        <v>500</v>
      </c>
      <c r="J22" s="206"/>
      <c r="K22" s="206"/>
      <c r="AC22" s="205" t="s">
        <v>209</v>
      </c>
      <c r="AD22" s="227">
        <f t="shared" si="0"/>
        <v>2026</v>
      </c>
      <c r="AE22" s="206">
        <f t="shared" si="3"/>
        <v>23</v>
      </c>
      <c r="AF22" s="206">
        <f t="shared" si="4"/>
        <v>500</v>
      </c>
      <c r="AG22" s="206">
        <f t="shared" si="5"/>
        <v>0</v>
      </c>
      <c r="AH22" s="206">
        <f t="shared" si="6"/>
        <v>0</v>
      </c>
    </row>
    <row r="23" spans="1:37" x14ac:dyDescent="0.25">
      <c r="A23" s="205" t="s">
        <v>212</v>
      </c>
      <c r="B23" s="227">
        <v>2026</v>
      </c>
      <c r="C23" s="227" t="s">
        <v>213</v>
      </c>
      <c r="D23" s="227" t="s">
        <v>214</v>
      </c>
      <c r="E23" s="227" t="s">
        <v>177</v>
      </c>
      <c r="F23" s="227" t="s">
        <v>295</v>
      </c>
      <c r="G23" s="227" t="s">
        <v>315</v>
      </c>
      <c r="H23" s="206">
        <v>4</v>
      </c>
      <c r="I23" s="206">
        <v>250</v>
      </c>
      <c r="J23" s="206"/>
      <c r="K23" s="206"/>
      <c r="AC23" s="205" t="s">
        <v>212</v>
      </c>
      <c r="AD23" s="227">
        <f t="shared" si="0"/>
        <v>2026</v>
      </c>
      <c r="AE23" s="206">
        <f t="shared" si="3"/>
        <v>4</v>
      </c>
      <c r="AF23" s="206">
        <f t="shared" si="4"/>
        <v>250</v>
      </c>
      <c r="AG23" s="206">
        <f t="shared" si="5"/>
        <v>0</v>
      </c>
      <c r="AH23" s="206">
        <f t="shared" si="6"/>
        <v>0</v>
      </c>
    </row>
    <row r="24" spans="1:37" x14ac:dyDescent="0.25">
      <c r="A24" s="205" t="s">
        <v>215</v>
      </c>
      <c r="B24" s="227">
        <v>2026</v>
      </c>
      <c r="C24" s="227" t="s">
        <v>216</v>
      </c>
      <c r="D24" s="227" t="s">
        <v>217</v>
      </c>
      <c r="E24" s="227" t="s">
        <v>177</v>
      </c>
      <c r="F24" s="227" t="s">
        <v>291</v>
      </c>
      <c r="G24" s="227" t="s">
        <v>305</v>
      </c>
      <c r="H24" s="206">
        <v>47</v>
      </c>
      <c r="I24" s="206">
        <v>7380</v>
      </c>
      <c r="J24" s="206"/>
      <c r="K24" s="206"/>
      <c r="L24" s="315"/>
      <c r="AC24" s="205" t="s">
        <v>215</v>
      </c>
      <c r="AD24" s="227">
        <f t="shared" si="0"/>
        <v>2026</v>
      </c>
      <c r="AE24" s="206">
        <f t="shared" si="3"/>
        <v>47</v>
      </c>
      <c r="AF24" s="206">
        <f t="shared" si="4"/>
        <v>7380</v>
      </c>
      <c r="AG24" s="206">
        <f t="shared" si="5"/>
        <v>0</v>
      </c>
      <c r="AH24" s="206">
        <f t="shared" si="6"/>
        <v>0</v>
      </c>
    </row>
    <row r="25" spans="1:37" x14ac:dyDescent="0.25">
      <c r="A25" s="205" t="s">
        <v>218</v>
      </c>
      <c r="B25" s="227">
        <v>2026</v>
      </c>
      <c r="C25" s="227" t="s">
        <v>219</v>
      </c>
      <c r="D25" s="227" t="s">
        <v>220</v>
      </c>
      <c r="E25" s="227" t="s">
        <v>177</v>
      </c>
      <c r="F25" s="227" t="s">
        <v>293</v>
      </c>
      <c r="G25" s="227" t="s">
        <v>319</v>
      </c>
      <c r="H25" s="206">
        <v>1</v>
      </c>
      <c r="I25" s="206">
        <v>200</v>
      </c>
      <c r="J25" s="206"/>
      <c r="K25" s="206"/>
      <c r="AC25" s="205" t="s">
        <v>218</v>
      </c>
      <c r="AD25" s="227">
        <f t="shared" si="0"/>
        <v>2026</v>
      </c>
      <c r="AE25" s="206">
        <f t="shared" si="3"/>
        <v>1</v>
      </c>
      <c r="AF25" s="206">
        <f t="shared" si="4"/>
        <v>200</v>
      </c>
      <c r="AG25" s="206">
        <f t="shared" si="5"/>
        <v>0</v>
      </c>
      <c r="AH25" s="206">
        <f t="shared" si="6"/>
        <v>0</v>
      </c>
    </row>
    <row r="26" spans="1:37" x14ac:dyDescent="0.25">
      <c r="A26" s="205" t="s">
        <v>221</v>
      </c>
      <c r="B26" s="227">
        <v>2026</v>
      </c>
      <c r="C26" s="227" t="s">
        <v>222</v>
      </c>
      <c r="D26" s="227" t="s">
        <v>223</v>
      </c>
      <c r="E26" s="227" t="s">
        <v>177</v>
      </c>
      <c r="F26" s="227" t="s">
        <v>287</v>
      </c>
      <c r="G26" s="227" t="s">
        <v>321</v>
      </c>
      <c r="H26" s="206">
        <v>9</v>
      </c>
      <c r="I26" s="206">
        <v>1280</v>
      </c>
      <c r="J26" s="206"/>
      <c r="K26" s="206"/>
      <c r="AC26" s="205" t="s">
        <v>221</v>
      </c>
      <c r="AD26" s="227">
        <f t="shared" si="0"/>
        <v>2026</v>
      </c>
      <c r="AE26" s="206">
        <f t="shared" si="3"/>
        <v>9</v>
      </c>
      <c r="AF26" s="206">
        <f t="shared" si="4"/>
        <v>1280</v>
      </c>
      <c r="AG26" s="206">
        <f t="shared" si="5"/>
        <v>0</v>
      </c>
      <c r="AH26" s="206">
        <f t="shared" si="6"/>
        <v>0</v>
      </c>
    </row>
    <row r="27" spans="1:37" x14ac:dyDescent="0.25">
      <c r="A27" s="205" t="s">
        <v>224</v>
      </c>
      <c r="B27" s="227">
        <v>2026</v>
      </c>
      <c r="C27" s="227" t="s">
        <v>225</v>
      </c>
      <c r="D27" s="227" t="s">
        <v>226</v>
      </c>
      <c r="E27" s="227" t="s">
        <v>177</v>
      </c>
      <c r="F27" s="227" t="s">
        <v>296</v>
      </c>
      <c r="G27" s="227" t="s">
        <v>316</v>
      </c>
      <c r="H27" s="206">
        <v>21</v>
      </c>
      <c r="I27" s="206">
        <v>420</v>
      </c>
      <c r="J27" s="206"/>
      <c r="K27" s="206"/>
      <c r="AC27" s="205" t="s">
        <v>224</v>
      </c>
      <c r="AD27" s="227">
        <f t="shared" si="0"/>
        <v>2026</v>
      </c>
      <c r="AE27" s="206">
        <f t="shared" si="3"/>
        <v>21</v>
      </c>
      <c r="AF27" s="206">
        <f t="shared" si="4"/>
        <v>420</v>
      </c>
      <c r="AG27" s="206">
        <f t="shared" si="5"/>
        <v>0</v>
      </c>
      <c r="AH27" s="206">
        <f t="shared" si="6"/>
        <v>0</v>
      </c>
    </row>
    <row r="28" spans="1:37" x14ac:dyDescent="0.25">
      <c r="A28" s="205" t="s">
        <v>227</v>
      </c>
      <c r="B28" s="227">
        <v>2026</v>
      </c>
      <c r="C28" s="227" t="s">
        <v>228</v>
      </c>
      <c r="D28" s="227" t="s">
        <v>229</v>
      </c>
      <c r="E28" s="227" t="s">
        <v>177</v>
      </c>
      <c r="F28" s="227" t="s">
        <v>296</v>
      </c>
      <c r="G28" s="227" t="s">
        <v>322</v>
      </c>
      <c r="H28" s="206">
        <v>5</v>
      </c>
      <c r="I28" s="206">
        <v>200</v>
      </c>
      <c r="J28" s="206"/>
      <c r="K28" s="206"/>
      <c r="AC28" s="205" t="s">
        <v>227</v>
      </c>
      <c r="AD28" s="227">
        <f t="shared" si="0"/>
        <v>2026</v>
      </c>
      <c r="AE28" s="206">
        <f t="shared" si="3"/>
        <v>5</v>
      </c>
      <c r="AF28" s="206">
        <f t="shared" si="4"/>
        <v>200</v>
      </c>
      <c r="AG28" s="206">
        <f t="shared" si="5"/>
        <v>0</v>
      </c>
      <c r="AH28" s="206">
        <f t="shared" si="6"/>
        <v>0</v>
      </c>
    </row>
    <row r="29" spans="1:37" x14ac:dyDescent="0.25">
      <c r="A29" s="205" t="s">
        <v>230</v>
      </c>
      <c r="B29" s="227">
        <v>2026</v>
      </c>
      <c r="C29" s="227" t="s">
        <v>231</v>
      </c>
      <c r="D29" s="227" t="s">
        <v>232</v>
      </c>
      <c r="E29" s="227" t="s">
        <v>177</v>
      </c>
      <c r="F29" s="227" t="s">
        <v>292</v>
      </c>
      <c r="G29" s="227" t="s">
        <v>320</v>
      </c>
      <c r="H29" s="206">
        <v>1</v>
      </c>
      <c r="I29" s="206">
        <v>150</v>
      </c>
      <c r="J29" s="206"/>
      <c r="K29" s="206"/>
      <c r="AC29" s="205" t="s">
        <v>230</v>
      </c>
      <c r="AD29" s="227">
        <f t="shared" si="0"/>
        <v>2026</v>
      </c>
      <c r="AE29" s="206">
        <f t="shared" si="3"/>
        <v>1</v>
      </c>
      <c r="AF29" s="206">
        <f t="shared" si="4"/>
        <v>150</v>
      </c>
      <c r="AG29" s="206">
        <f t="shared" si="5"/>
        <v>0</v>
      </c>
      <c r="AH29" s="206">
        <f t="shared" si="6"/>
        <v>0</v>
      </c>
    </row>
    <row r="30" spans="1:37" x14ac:dyDescent="0.25">
      <c r="A30" s="205" t="s">
        <v>230</v>
      </c>
      <c r="B30" s="227">
        <v>2026</v>
      </c>
      <c r="C30" s="227" t="s">
        <v>233</v>
      </c>
      <c r="D30" s="227" t="s">
        <v>234</v>
      </c>
      <c r="E30" s="227" t="s">
        <v>177</v>
      </c>
      <c r="F30" s="227" t="s">
        <v>292</v>
      </c>
      <c r="G30" s="227" t="s">
        <v>320</v>
      </c>
      <c r="H30" s="206">
        <v>2</v>
      </c>
      <c r="I30" s="206">
        <v>150</v>
      </c>
      <c r="J30" s="206"/>
      <c r="K30" s="206"/>
      <c r="AC30" s="205" t="s">
        <v>230</v>
      </c>
      <c r="AD30" s="227">
        <f t="shared" si="0"/>
        <v>2026</v>
      </c>
      <c r="AE30" s="206">
        <f t="shared" si="3"/>
        <v>2</v>
      </c>
      <c r="AF30" s="206">
        <f t="shared" si="4"/>
        <v>150</v>
      </c>
      <c r="AG30" s="206">
        <f t="shared" si="5"/>
        <v>0</v>
      </c>
      <c r="AH30" s="206">
        <f t="shared" si="6"/>
        <v>0</v>
      </c>
    </row>
    <row r="31" spans="1:37" x14ac:dyDescent="0.25">
      <c r="A31" s="205" t="s">
        <v>235</v>
      </c>
      <c r="B31" s="227">
        <v>2026</v>
      </c>
      <c r="C31" s="227" t="s">
        <v>236</v>
      </c>
      <c r="D31" s="227" t="s">
        <v>237</v>
      </c>
      <c r="E31" s="227" t="s">
        <v>177</v>
      </c>
      <c r="F31" s="227" t="s">
        <v>289</v>
      </c>
      <c r="G31" s="227" t="s">
        <v>317</v>
      </c>
      <c r="H31" s="206">
        <v>5</v>
      </c>
      <c r="I31" s="206">
        <v>400</v>
      </c>
      <c r="J31" s="206"/>
      <c r="K31" s="206"/>
      <c r="AC31" s="205" t="s">
        <v>235</v>
      </c>
      <c r="AD31" s="227">
        <f t="shared" si="0"/>
        <v>2026</v>
      </c>
      <c r="AE31" s="206">
        <f t="shared" si="3"/>
        <v>5</v>
      </c>
      <c r="AF31" s="206">
        <f t="shared" si="4"/>
        <v>400</v>
      </c>
      <c r="AG31" s="206">
        <f t="shared" si="5"/>
        <v>0</v>
      </c>
      <c r="AH31" s="206">
        <f t="shared" si="6"/>
        <v>0</v>
      </c>
    </row>
    <row r="32" spans="1:37" x14ac:dyDescent="0.25">
      <c r="A32" s="205" t="s">
        <v>238</v>
      </c>
      <c r="B32" s="227">
        <v>2026</v>
      </c>
      <c r="C32" s="227" t="s">
        <v>239</v>
      </c>
      <c r="D32" s="227" t="s">
        <v>240</v>
      </c>
      <c r="E32" s="227" t="s">
        <v>177</v>
      </c>
      <c r="F32" s="227" t="s">
        <v>294</v>
      </c>
      <c r="G32" s="227" t="s">
        <v>314</v>
      </c>
      <c r="H32" s="206">
        <v>7</v>
      </c>
      <c r="I32" s="206">
        <v>1645</v>
      </c>
      <c r="J32" s="206"/>
      <c r="K32" s="206"/>
      <c r="AC32" s="205" t="s">
        <v>238</v>
      </c>
      <c r="AD32" s="227">
        <f t="shared" si="0"/>
        <v>2026</v>
      </c>
      <c r="AE32" s="206">
        <f t="shared" si="3"/>
        <v>7</v>
      </c>
      <c r="AF32" s="206">
        <f t="shared" si="4"/>
        <v>1645</v>
      </c>
      <c r="AG32" s="206">
        <f>J32</f>
        <v>0</v>
      </c>
      <c r="AH32" s="206">
        <f t="shared" si="6"/>
        <v>0</v>
      </c>
    </row>
    <row r="33" spans="1:42" x14ac:dyDescent="0.25">
      <c r="A33" s="205" t="s">
        <v>241</v>
      </c>
      <c r="B33" s="227">
        <v>2026</v>
      </c>
      <c r="C33" s="227" t="s">
        <v>242</v>
      </c>
      <c r="D33" s="227" t="s">
        <v>243</v>
      </c>
      <c r="E33" s="227" t="s">
        <v>177</v>
      </c>
      <c r="F33" s="227" t="s">
        <v>297</v>
      </c>
      <c r="G33" s="227" t="s">
        <v>323</v>
      </c>
      <c r="H33" s="206">
        <v>20</v>
      </c>
      <c r="I33" s="206">
        <v>600</v>
      </c>
      <c r="J33" s="206"/>
      <c r="K33" s="206"/>
      <c r="AC33" s="205" t="s">
        <v>241</v>
      </c>
      <c r="AD33" s="227">
        <f t="shared" si="0"/>
        <v>2026</v>
      </c>
      <c r="AE33" s="206">
        <f t="shared" si="3"/>
        <v>20</v>
      </c>
      <c r="AF33" s="206">
        <f t="shared" si="4"/>
        <v>600</v>
      </c>
      <c r="AG33" s="206">
        <f t="shared" si="5"/>
        <v>0</v>
      </c>
      <c r="AH33" s="206">
        <f t="shared" si="6"/>
        <v>0</v>
      </c>
    </row>
    <row r="34" spans="1:42" x14ac:dyDescent="0.25">
      <c r="A34" s="205" t="s">
        <v>244</v>
      </c>
      <c r="B34" s="227">
        <v>2026</v>
      </c>
      <c r="C34" s="227" t="s">
        <v>245</v>
      </c>
      <c r="D34" s="227" t="s">
        <v>246</v>
      </c>
      <c r="E34" s="227" t="s">
        <v>177</v>
      </c>
      <c r="F34" s="227" t="s">
        <v>288</v>
      </c>
      <c r="G34" s="227" t="s">
        <v>318</v>
      </c>
      <c r="H34" s="206">
        <v>4</v>
      </c>
      <c r="I34" s="206">
        <v>3600</v>
      </c>
      <c r="J34" s="206"/>
      <c r="K34" s="206"/>
      <c r="AC34" s="205" t="s">
        <v>244</v>
      </c>
      <c r="AD34" s="227">
        <f t="shared" si="0"/>
        <v>2026</v>
      </c>
      <c r="AE34" s="206">
        <f t="shared" si="3"/>
        <v>4</v>
      </c>
      <c r="AF34" s="206">
        <f t="shared" si="4"/>
        <v>3600</v>
      </c>
      <c r="AG34" s="206">
        <f t="shared" si="5"/>
        <v>0</v>
      </c>
      <c r="AH34" s="206">
        <f t="shared" si="6"/>
        <v>0</v>
      </c>
    </row>
    <row r="35" spans="1:42" x14ac:dyDescent="0.25">
      <c r="A35" s="205" t="s">
        <v>247</v>
      </c>
      <c r="B35" s="227">
        <v>2026</v>
      </c>
      <c r="C35" s="227" t="s">
        <v>248</v>
      </c>
      <c r="D35" s="227" t="s">
        <v>249</v>
      </c>
      <c r="E35" s="227" t="s">
        <v>177</v>
      </c>
      <c r="F35" s="227" t="s">
        <v>298</v>
      </c>
      <c r="G35" s="227" t="s">
        <v>324</v>
      </c>
      <c r="H35" s="206">
        <v>11</v>
      </c>
      <c r="I35" s="206">
        <v>325</v>
      </c>
      <c r="J35" s="206"/>
      <c r="K35" s="206"/>
      <c r="AC35" s="205" t="s">
        <v>247</v>
      </c>
      <c r="AD35" s="227">
        <f t="shared" si="0"/>
        <v>2026</v>
      </c>
      <c r="AE35" s="206">
        <f t="shared" si="3"/>
        <v>11</v>
      </c>
      <c r="AF35" s="206">
        <f t="shared" si="4"/>
        <v>325</v>
      </c>
      <c r="AG35" s="206">
        <f t="shared" si="5"/>
        <v>0</v>
      </c>
      <c r="AH35" s="206">
        <f t="shared" si="6"/>
        <v>0</v>
      </c>
    </row>
    <row r="36" spans="1:42" x14ac:dyDescent="0.25">
      <c r="A36" s="205" t="s">
        <v>250</v>
      </c>
      <c r="B36" s="227">
        <v>2026</v>
      </c>
      <c r="C36" s="227" t="s">
        <v>251</v>
      </c>
      <c r="D36" s="227" t="s">
        <v>252</v>
      </c>
      <c r="E36" s="227" t="s">
        <v>177</v>
      </c>
      <c r="F36" s="227" t="s">
        <v>287</v>
      </c>
      <c r="G36" s="227" t="s">
        <v>303</v>
      </c>
      <c r="H36" s="206">
        <v>9</v>
      </c>
      <c r="I36" s="206">
        <v>2500</v>
      </c>
      <c r="J36" s="206"/>
      <c r="K36" s="206"/>
      <c r="AC36" s="205" t="s">
        <v>250</v>
      </c>
      <c r="AD36" s="227">
        <f t="shared" si="0"/>
        <v>2026</v>
      </c>
      <c r="AE36" s="206">
        <f t="shared" si="3"/>
        <v>9</v>
      </c>
      <c r="AF36" s="206">
        <f t="shared" si="4"/>
        <v>2500</v>
      </c>
      <c r="AG36" s="206">
        <f t="shared" si="5"/>
        <v>0</v>
      </c>
      <c r="AH36" s="206">
        <f t="shared" si="6"/>
        <v>0</v>
      </c>
    </row>
    <row r="37" spans="1:42" x14ac:dyDescent="0.25">
      <c r="A37" s="205" t="s">
        <v>253</v>
      </c>
      <c r="B37" s="227">
        <v>2026</v>
      </c>
      <c r="C37" s="229" t="s">
        <v>254</v>
      </c>
      <c r="D37" s="229" t="s">
        <v>255</v>
      </c>
      <c r="E37" s="229" t="s">
        <v>177</v>
      </c>
      <c r="F37" s="229" t="s">
        <v>299</v>
      </c>
      <c r="G37" s="229" t="s">
        <v>325</v>
      </c>
      <c r="H37" s="207">
        <v>20</v>
      </c>
      <c r="I37" s="207">
        <v>3000</v>
      </c>
      <c r="J37" s="207"/>
      <c r="K37" s="207"/>
      <c r="AC37" s="205" t="s">
        <v>253</v>
      </c>
      <c r="AD37" s="227">
        <f t="shared" si="0"/>
        <v>2026</v>
      </c>
      <c r="AE37" s="206">
        <f t="shared" si="3"/>
        <v>20</v>
      </c>
      <c r="AF37" s="206">
        <f t="shared" si="4"/>
        <v>3000</v>
      </c>
      <c r="AG37" s="206">
        <f t="shared" si="5"/>
        <v>0</v>
      </c>
      <c r="AH37" s="206">
        <f t="shared" si="6"/>
        <v>0</v>
      </c>
    </row>
    <row r="38" spans="1:42" x14ac:dyDescent="0.25">
      <c r="A38" s="232" t="s">
        <v>41</v>
      </c>
      <c r="B38" s="232"/>
      <c r="C38" s="232"/>
      <c r="D38" s="232"/>
      <c r="E38" s="232"/>
      <c r="F38" s="232"/>
      <c r="G38" s="232"/>
      <c r="H38" s="233">
        <f>SUM(H3:H37)</f>
        <v>359</v>
      </c>
      <c r="I38" s="233">
        <f>SUM(I3:I37)</f>
        <v>57237</v>
      </c>
      <c r="J38" s="233">
        <f>SUM(J3:J37)</f>
        <v>2441</v>
      </c>
      <c r="K38" s="233">
        <f>SUM(K3:K37)</f>
        <v>1953</v>
      </c>
      <c r="AC38" s="111" t="s">
        <v>119</v>
      </c>
      <c r="AD38" s="227">
        <f>B42</f>
        <v>2025</v>
      </c>
      <c r="AE38" s="206">
        <f>H42</f>
        <v>2</v>
      </c>
      <c r="AF38" s="206">
        <f t="shared" ref="AF38:AH44" si="10">I42</f>
        <v>1004</v>
      </c>
      <c r="AG38" s="206">
        <f t="shared" si="10"/>
        <v>1004</v>
      </c>
      <c r="AH38" s="206">
        <f t="shared" si="10"/>
        <v>664</v>
      </c>
    </row>
    <row r="39" spans="1:42" x14ac:dyDescent="0.25">
      <c r="AC39" s="205" t="s">
        <v>52</v>
      </c>
      <c r="AD39" s="227">
        <v>2025</v>
      </c>
      <c r="AE39" s="206">
        <f t="shared" ref="AE39:AE44" si="11">H43</f>
        <v>1</v>
      </c>
      <c r="AF39" s="206">
        <f t="shared" si="10"/>
        <v>377</v>
      </c>
      <c r="AG39" s="206">
        <f t="shared" si="10"/>
        <v>100</v>
      </c>
      <c r="AH39" s="206">
        <f t="shared" si="10"/>
        <v>69</v>
      </c>
    </row>
    <row r="40" spans="1:42" ht="15.75" x14ac:dyDescent="0.25">
      <c r="A40" s="356" t="s">
        <v>82</v>
      </c>
      <c r="B40" s="356"/>
      <c r="C40" s="356"/>
      <c r="D40" s="356"/>
      <c r="E40" s="356"/>
      <c r="F40" s="356"/>
      <c r="G40" s="356"/>
      <c r="H40" s="356"/>
      <c r="I40" s="356"/>
      <c r="J40" s="356"/>
      <c r="K40" s="356"/>
      <c r="AC40" s="205" t="s">
        <v>54</v>
      </c>
      <c r="AD40" s="227">
        <v>2025</v>
      </c>
      <c r="AE40" s="206">
        <f t="shared" si="11"/>
        <v>6</v>
      </c>
      <c r="AF40" s="206">
        <f t="shared" si="10"/>
        <v>6000</v>
      </c>
      <c r="AG40" s="206">
        <f t="shared" si="10"/>
        <v>7403</v>
      </c>
      <c r="AH40" s="206">
        <f t="shared" si="10"/>
        <v>2094</v>
      </c>
    </row>
    <row r="41" spans="1:42" x14ac:dyDescent="0.25">
      <c r="A41" s="209" t="s">
        <v>51</v>
      </c>
      <c r="B41" s="209" t="s">
        <v>97</v>
      </c>
      <c r="C41" s="209" t="s">
        <v>121</v>
      </c>
      <c r="D41" s="209" t="s">
        <v>122</v>
      </c>
      <c r="E41" s="209" t="s">
        <v>120</v>
      </c>
      <c r="F41" s="209" t="s">
        <v>285</v>
      </c>
      <c r="G41" s="209" t="s">
        <v>286</v>
      </c>
      <c r="H41" s="209" t="s">
        <v>63</v>
      </c>
      <c r="I41" s="209" t="s">
        <v>48</v>
      </c>
      <c r="J41" s="209" t="s">
        <v>50</v>
      </c>
      <c r="K41" s="209" t="s">
        <v>49</v>
      </c>
      <c r="AC41" s="205" t="s">
        <v>53</v>
      </c>
      <c r="AD41" s="227">
        <v>2025</v>
      </c>
      <c r="AE41" s="206">
        <f t="shared" si="11"/>
        <v>140</v>
      </c>
      <c r="AF41" s="206">
        <f t="shared" si="10"/>
        <v>4040</v>
      </c>
      <c r="AG41" s="206">
        <f t="shared" si="10"/>
        <v>3479</v>
      </c>
      <c r="AH41" s="206">
        <f t="shared" si="10"/>
        <v>2737</v>
      </c>
      <c r="AL41" s="313"/>
      <c r="AM41" s="314"/>
      <c r="AN41" s="314"/>
      <c r="AO41" s="314"/>
      <c r="AP41" s="314"/>
    </row>
    <row r="42" spans="1:42" x14ac:dyDescent="0.25">
      <c r="A42" s="111" t="s">
        <v>119</v>
      </c>
      <c r="B42" s="227">
        <v>2025</v>
      </c>
      <c r="C42" s="227" t="s">
        <v>125</v>
      </c>
      <c r="D42" s="227" t="s">
        <v>126</v>
      </c>
      <c r="E42" s="227" t="s">
        <v>145</v>
      </c>
      <c r="F42" s="227" t="s">
        <v>290</v>
      </c>
      <c r="G42" s="227" t="s">
        <v>13</v>
      </c>
      <c r="H42" s="206">
        <v>2</v>
      </c>
      <c r="I42" s="206">
        <v>1004</v>
      </c>
      <c r="J42" s="206">
        <v>1004</v>
      </c>
      <c r="K42" s="206">
        <v>664</v>
      </c>
      <c r="AC42" s="205" t="s">
        <v>55</v>
      </c>
      <c r="AD42" s="227">
        <v>2025</v>
      </c>
      <c r="AE42" s="206">
        <f t="shared" si="11"/>
        <v>49</v>
      </c>
      <c r="AF42" s="206">
        <f t="shared" si="10"/>
        <v>3731</v>
      </c>
      <c r="AG42" s="206">
        <f t="shared" si="10"/>
        <v>1371</v>
      </c>
      <c r="AH42" s="206">
        <f t="shared" si="10"/>
        <v>1122</v>
      </c>
      <c r="AL42" s="313"/>
      <c r="AM42" s="314"/>
      <c r="AN42" s="314"/>
      <c r="AO42" s="314"/>
      <c r="AP42" s="314"/>
    </row>
    <row r="43" spans="1:42" x14ac:dyDescent="0.25">
      <c r="A43" s="205" t="s">
        <v>52</v>
      </c>
      <c r="B43" s="227">
        <v>2025</v>
      </c>
      <c r="C43" s="227" t="s">
        <v>127</v>
      </c>
      <c r="D43" s="227" t="s">
        <v>128</v>
      </c>
      <c r="E43" s="227" t="s">
        <v>146</v>
      </c>
      <c r="F43" s="227" t="s">
        <v>297</v>
      </c>
      <c r="G43" s="227" t="s">
        <v>14</v>
      </c>
      <c r="H43" s="206">
        <v>1</v>
      </c>
      <c r="I43" s="206">
        <v>377</v>
      </c>
      <c r="J43" s="206">
        <v>100</v>
      </c>
      <c r="K43" s="206">
        <v>69</v>
      </c>
      <c r="AC43" s="205" t="s">
        <v>118</v>
      </c>
      <c r="AD43" s="227">
        <v>2025</v>
      </c>
      <c r="AE43" s="206">
        <f t="shared" si="11"/>
        <v>2</v>
      </c>
      <c r="AF43" s="206">
        <f t="shared" si="10"/>
        <v>45</v>
      </c>
      <c r="AG43" s="206">
        <f t="shared" si="10"/>
        <v>45</v>
      </c>
      <c r="AH43" s="206">
        <f t="shared" si="10"/>
        <v>45</v>
      </c>
      <c r="AL43" s="313"/>
      <c r="AM43" s="314"/>
      <c r="AN43" s="314"/>
      <c r="AO43" s="314"/>
      <c r="AP43" s="314"/>
    </row>
    <row r="44" spans="1:42" x14ac:dyDescent="0.25">
      <c r="A44" s="205" t="s">
        <v>54</v>
      </c>
      <c r="B44" s="227">
        <v>2025</v>
      </c>
      <c r="C44" s="227" t="s">
        <v>129</v>
      </c>
      <c r="D44" s="227" t="s">
        <v>130</v>
      </c>
      <c r="E44" s="227" t="s">
        <v>145</v>
      </c>
      <c r="F44" s="227" t="s">
        <v>326</v>
      </c>
      <c r="G44" s="227" t="s">
        <v>37</v>
      </c>
      <c r="H44" s="206">
        <v>6</v>
      </c>
      <c r="I44" s="206">
        <v>6000</v>
      </c>
      <c r="J44" s="206">
        <v>7403</v>
      </c>
      <c r="K44" s="206">
        <v>2094</v>
      </c>
      <c r="AC44" s="205" t="s">
        <v>56</v>
      </c>
      <c r="AD44" s="227">
        <v>2025</v>
      </c>
      <c r="AE44" s="206">
        <f t="shared" si="11"/>
        <v>2</v>
      </c>
      <c r="AF44" s="206">
        <f t="shared" si="10"/>
        <v>193</v>
      </c>
      <c r="AG44" s="206">
        <f t="shared" si="10"/>
        <v>193</v>
      </c>
      <c r="AH44" s="206">
        <f t="shared" si="10"/>
        <v>193</v>
      </c>
      <c r="AL44" s="313"/>
      <c r="AM44" s="314"/>
      <c r="AN44" s="314"/>
      <c r="AO44" s="314"/>
      <c r="AP44" s="314"/>
    </row>
    <row r="45" spans="1:42" x14ac:dyDescent="0.25">
      <c r="A45" s="205" t="s">
        <v>53</v>
      </c>
      <c r="B45" s="227">
        <v>2025</v>
      </c>
      <c r="C45" s="227" t="s">
        <v>140</v>
      </c>
      <c r="D45" s="227" t="s">
        <v>131</v>
      </c>
      <c r="E45" s="227" t="s">
        <v>145</v>
      </c>
      <c r="F45" s="227" t="s">
        <v>294</v>
      </c>
      <c r="G45" s="227" t="s">
        <v>314</v>
      </c>
      <c r="H45" s="206">
        <v>140</v>
      </c>
      <c r="I45" s="206">
        <v>4040</v>
      </c>
      <c r="J45" s="206">
        <v>3479</v>
      </c>
      <c r="K45" s="206">
        <v>2737</v>
      </c>
      <c r="AC45" s="111" t="s">
        <v>119</v>
      </c>
      <c r="AD45" s="228">
        <f t="shared" ref="AD45:AD53" si="12">B53</f>
        <v>2024</v>
      </c>
      <c r="AE45" s="206">
        <f>H53</f>
        <v>12</v>
      </c>
      <c r="AF45" s="206">
        <f t="shared" ref="AF45:AH53" si="13">I53</f>
        <v>1917</v>
      </c>
      <c r="AG45" s="206">
        <f t="shared" si="13"/>
        <v>1917</v>
      </c>
      <c r="AH45" s="206">
        <f t="shared" si="13"/>
        <v>1917</v>
      </c>
      <c r="AL45" s="313"/>
      <c r="AM45" s="314"/>
      <c r="AN45" s="314"/>
      <c r="AO45" s="314"/>
      <c r="AP45" s="314"/>
    </row>
    <row r="46" spans="1:42" x14ac:dyDescent="0.25">
      <c r="A46" s="205" t="s">
        <v>55</v>
      </c>
      <c r="B46" s="227">
        <v>2025</v>
      </c>
      <c r="C46" s="227" t="s">
        <v>132</v>
      </c>
      <c r="D46" s="227" t="s">
        <v>150</v>
      </c>
      <c r="E46" s="227"/>
      <c r="F46" s="227" t="s">
        <v>294</v>
      </c>
      <c r="G46" s="227" t="s">
        <v>314</v>
      </c>
      <c r="H46" s="206">
        <v>49</v>
      </c>
      <c r="I46" s="206">
        <v>3731</v>
      </c>
      <c r="J46" s="206">
        <v>1371</v>
      </c>
      <c r="K46" s="206">
        <v>1122</v>
      </c>
      <c r="AC46" s="111" t="s">
        <v>59</v>
      </c>
      <c r="AD46" s="228">
        <f t="shared" si="12"/>
        <v>2024</v>
      </c>
      <c r="AE46" s="206">
        <f t="shared" ref="AE46:AE53" si="14">H54</f>
        <v>47</v>
      </c>
      <c r="AF46" s="206">
        <f t="shared" si="13"/>
        <v>804</v>
      </c>
      <c r="AG46" s="206">
        <f t="shared" si="13"/>
        <v>307</v>
      </c>
      <c r="AH46" s="206">
        <f t="shared" si="13"/>
        <v>179</v>
      </c>
    </row>
    <row r="47" spans="1:42" x14ac:dyDescent="0.25">
      <c r="A47" s="205" t="s">
        <v>118</v>
      </c>
      <c r="B47" s="227">
        <v>2025</v>
      </c>
      <c r="C47" s="227" t="s">
        <v>125</v>
      </c>
      <c r="D47" s="227" t="s">
        <v>134</v>
      </c>
      <c r="E47" s="227" t="s">
        <v>146</v>
      </c>
      <c r="F47" s="227" t="s">
        <v>288</v>
      </c>
      <c r="G47" s="227" t="s">
        <v>30</v>
      </c>
      <c r="H47" s="206">
        <v>2</v>
      </c>
      <c r="I47" s="206">
        <v>45</v>
      </c>
      <c r="J47" s="206">
        <v>45</v>
      </c>
      <c r="K47" s="206">
        <v>45</v>
      </c>
      <c r="AC47" s="111" t="s">
        <v>52</v>
      </c>
      <c r="AD47" s="228">
        <f t="shared" si="12"/>
        <v>2024</v>
      </c>
      <c r="AE47" s="206">
        <f t="shared" si="14"/>
        <v>2</v>
      </c>
      <c r="AF47" s="206">
        <f t="shared" si="13"/>
        <v>919</v>
      </c>
      <c r="AG47" s="206">
        <f t="shared" si="13"/>
        <v>243</v>
      </c>
      <c r="AH47" s="206">
        <f t="shared" si="13"/>
        <v>160</v>
      </c>
    </row>
    <row r="48" spans="1:42" x14ac:dyDescent="0.25">
      <c r="A48" s="205" t="s">
        <v>56</v>
      </c>
      <c r="B48" s="227">
        <v>2025</v>
      </c>
      <c r="C48" s="229" t="s">
        <v>135</v>
      </c>
      <c r="D48" s="229" t="s">
        <v>136</v>
      </c>
      <c r="E48" s="227" t="s">
        <v>145</v>
      </c>
      <c r="F48" s="227" t="s">
        <v>300</v>
      </c>
      <c r="G48" s="227" t="s">
        <v>363</v>
      </c>
      <c r="H48" s="207">
        <v>2</v>
      </c>
      <c r="I48" s="207">
        <v>193</v>
      </c>
      <c r="J48" s="207">
        <v>193</v>
      </c>
      <c r="K48" s="207">
        <v>193</v>
      </c>
      <c r="AC48" s="111" t="s">
        <v>54</v>
      </c>
      <c r="AD48" s="228">
        <f t="shared" si="12"/>
        <v>2024</v>
      </c>
      <c r="AE48" s="206">
        <f t="shared" si="14"/>
        <v>6</v>
      </c>
      <c r="AF48" s="206">
        <f t="shared" si="13"/>
        <v>8000</v>
      </c>
      <c r="AG48" s="206">
        <f t="shared" si="13"/>
        <v>3840</v>
      </c>
      <c r="AH48" s="206">
        <f t="shared" si="13"/>
        <v>1692</v>
      </c>
    </row>
    <row r="49" spans="1:34" x14ac:dyDescent="0.25">
      <c r="A49" s="209" t="s">
        <v>41</v>
      </c>
      <c r="B49" s="209"/>
      <c r="C49" s="209"/>
      <c r="D49" s="209"/>
      <c r="E49" s="209"/>
      <c r="F49" s="209"/>
      <c r="G49" s="209"/>
      <c r="H49" s="210">
        <f>SUM(H42:H48)</f>
        <v>202</v>
      </c>
      <c r="I49" s="210">
        <f>SUM(I42:I48)</f>
        <v>15390</v>
      </c>
      <c r="J49" s="210">
        <f>SUM(J42:J48)</f>
        <v>13595</v>
      </c>
      <c r="K49" s="210">
        <f>SUM(K42:K48)</f>
        <v>6924</v>
      </c>
      <c r="AC49" s="111" t="s">
        <v>56</v>
      </c>
      <c r="AD49" s="228">
        <f t="shared" si="12"/>
        <v>2024</v>
      </c>
      <c r="AE49" s="206">
        <f t="shared" si="14"/>
        <v>2</v>
      </c>
      <c r="AF49" s="206">
        <f t="shared" si="13"/>
        <v>528</v>
      </c>
      <c r="AG49" s="206">
        <f t="shared" si="13"/>
        <v>712</v>
      </c>
      <c r="AH49" s="206">
        <f t="shared" si="13"/>
        <v>409</v>
      </c>
    </row>
    <row r="50" spans="1:34" x14ac:dyDescent="0.25">
      <c r="A50" s="202"/>
      <c r="B50" s="202"/>
      <c r="C50" s="202"/>
      <c r="D50" s="202"/>
      <c r="E50" s="202"/>
      <c r="F50" s="202"/>
      <c r="G50" s="202"/>
      <c r="H50" s="203"/>
      <c r="I50" s="203"/>
      <c r="J50" s="204"/>
      <c r="K50" s="204"/>
      <c r="AC50" s="111" t="s">
        <v>58</v>
      </c>
      <c r="AD50" s="228">
        <f t="shared" si="12"/>
        <v>2024</v>
      </c>
      <c r="AE50" s="206">
        <f t="shared" si="14"/>
        <v>4</v>
      </c>
      <c r="AF50" s="206">
        <f t="shared" si="13"/>
        <v>400</v>
      </c>
      <c r="AG50" s="206">
        <f t="shared" si="13"/>
        <v>615</v>
      </c>
      <c r="AH50" s="206">
        <f t="shared" si="13"/>
        <v>146</v>
      </c>
    </row>
    <row r="51" spans="1:34" ht="15.75" x14ac:dyDescent="0.25">
      <c r="A51" s="357" t="s">
        <v>83</v>
      </c>
      <c r="B51" s="357"/>
      <c r="C51" s="357"/>
      <c r="D51" s="357"/>
      <c r="E51" s="357"/>
      <c r="F51" s="357"/>
      <c r="G51" s="357"/>
      <c r="H51" s="357"/>
      <c r="I51" s="357"/>
      <c r="J51" s="357"/>
      <c r="K51" s="357"/>
      <c r="AC51" s="111" t="s">
        <v>117</v>
      </c>
      <c r="AD51" s="228">
        <f t="shared" si="12"/>
        <v>2024</v>
      </c>
      <c r="AE51" s="206">
        <f t="shared" si="14"/>
        <v>2</v>
      </c>
      <c r="AF51" s="206">
        <f t="shared" si="13"/>
        <v>450</v>
      </c>
      <c r="AG51" s="206">
        <f t="shared" si="13"/>
        <v>534</v>
      </c>
      <c r="AH51" s="206">
        <f t="shared" si="13"/>
        <v>572</v>
      </c>
    </row>
    <row r="52" spans="1:34" x14ac:dyDescent="0.25">
      <c r="A52" s="211" t="s">
        <v>51</v>
      </c>
      <c r="B52" s="211" t="s">
        <v>97</v>
      </c>
      <c r="C52" s="211" t="s">
        <v>121</v>
      </c>
      <c r="D52" s="211" t="s">
        <v>122</v>
      </c>
      <c r="E52" s="211" t="s">
        <v>120</v>
      </c>
      <c r="F52" s="211" t="s">
        <v>285</v>
      </c>
      <c r="G52" s="211" t="s">
        <v>286</v>
      </c>
      <c r="H52" s="212" t="s">
        <v>63</v>
      </c>
      <c r="I52" s="212" t="s">
        <v>48</v>
      </c>
      <c r="J52" s="212" t="s">
        <v>50</v>
      </c>
      <c r="K52" s="212" t="s">
        <v>49</v>
      </c>
      <c r="AC52" s="111" t="s">
        <v>73</v>
      </c>
      <c r="AD52" s="228">
        <f t="shared" si="12"/>
        <v>2024</v>
      </c>
      <c r="AE52" s="206">
        <f t="shared" si="14"/>
        <v>5</v>
      </c>
      <c r="AF52" s="206">
        <f t="shared" si="13"/>
        <v>1570</v>
      </c>
      <c r="AG52" s="206">
        <f t="shared" si="13"/>
        <v>771</v>
      </c>
      <c r="AH52" s="206">
        <f t="shared" si="13"/>
        <v>391</v>
      </c>
    </row>
    <row r="53" spans="1:34" x14ac:dyDescent="0.25">
      <c r="A53" s="111" t="s">
        <v>119</v>
      </c>
      <c r="B53" s="228">
        <v>2024</v>
      </c>
      <c r="C53" s="228" t="s">
        <v>125</v>
      </c>
      <c r="D53" s="228" t="s">
        <v>126</v>
      </c>
      <c r="E53" s="227" t="s">
        <v>145</v>
      </c>
      <c r="F53" s="227" t="s">
        <v>290</v>
      </c>
      <c r="G53" s="227" t="s">
        <v>13</v>
      </c>
      <c r="H53" s="206">
        <v>12</v>
      </c>
      <c r="I53" s="206">
        <v>1917</v>
      </c>
      <c r="J53" s="206">
        <v>1917</v>
      </c>
      <c r="K53" s="206">
        <v>1917</v>
      </c>
      <c r="AC53" s="111" t="s">
        <v>53</v>
      </c>
      <c r="AD53" s="228">
        <f t="shared" si="12"/>
        <v>2024</v>
      </c>
      <c r="AE53" s="206">
        <f t="shared" si="14"/>
        <v>39</v>
      </c>
      <c r="AF53" s="206">
        <f t="shared" si="13"/>
        <v>1560</v>
      </c>
      <c r="AG53" s="206">
        <f t="shared" si="13"/>
        <v>499</v>
      </c>
      <c r="AH53" s="206">
        <f t="shared" si="13"/>
        <v>372</v>
      </c>
    </row>
    <row r="54" spans="1:34" x14ac:dyDescent="0.25">
      <c r="A54" s="111" t="s">
        <v>59</v>
      </c>
      <c r="B54" s="228">
        <v>2024</v>
      </c>
      <c r="C54" s="228" t="s">
        <v>132</v>
      </c>
      <c r="D54" s="228" t="s">
        <v>150</v>
      </c>
      <c r="E54" s="227"/>
      <c r="F54" s="227" t="s">
        <v>294</v>
      </c>
      <c r="G54" s="227" t="s">
        <v>314</v>
      </c>
      <c r="H54" s="206">
        <v>47</v>
      </c>
      <c r="I54" s="206">
        <v>804</v>
      </c>
      <c r="J54" s="206">
        <v>307</v>
      </c>
      <c r="K54" s="206">
        <v>179</v>
      </c>
      <c r="AC54" s="111" t="s">
        <v>119</v>
      </c>
      <c r="AD54" s="228">
        <f t="shared" ref="AD54:AD66" si="15">B66</f>
        <v>2023</v>
      </c>
      <c r="AE54" s="206">
        <f>H66</f>
        <v>5</v>
      </c>
      <c r="AF54" s="206">
        <f t="shared" ref="AF54:AH64" si="16">I66</f>
        <v>1570</v>
      </c>
      <c r="AG54" s="206">
        <f t="shared" si="16"/>
        <v>2172</v>
      </c>
      <c r="AH54" s="206">
        <f t="shared" si="16"/>
        <v>642</v>
      </c>
    </row>
    <row r="55" spans="1:34" x14ac:dyDescent="0.25">
      <c r="A55" s="111" t="s">
        <v>52</v>
      </c>
      <c r="B55" s="228">
        <v>2024</v>
      </c>
      <c r="C55" s="228" t="s">
        <v>127</v>
      </c>
      <c r="D55" s="228" t="s">
        <v>128</v>
      </c>
      <c r="E55" s="227" t="s">
        <v>146</v>
      </c>
      <c r="F55" s="227" t="s">
        <v>297</v>
      </c>
      <c r="G55" s="227" t="s">
        <v>14</v>
      </c>
      <c r="H55" s="206">
        <v>2</v>
      </c>
      <c r="I55" s="206">
        <v>919</v>
      </c>
      <c r="J55" s="206">
        <v>243</v>
      </c>
      <c r="K55" s="206">
        <v>160</v>
      </c>
      <c r="AC55" s="111" t="s">
        <v>57</v>
      </c>
      <c r="AD55" s="228">
        <f t="shared" si="15"/>
        <v>2023</v>
      </c>
      <c r="AE55" s="206">
        <f t="shared" ref="AE55:AE66" si="17">H67</f>
        <v>5</v>
      </c>
      <c r="AF55" s="206">
        <f t="shared" si="16"/>
        <v>4672</v>
      </c>
      <c r="AG55" s="206">
        <f t="shared" si="16"/>
        <v>1965</v>
      </c>
      <c r="AH55" s="206">
        <f t="shared" si="16"/>
        <v>939</v>
      </c>
    </row>
    <row r="56" spans="1:34" x14ac:dyDescent="0.25">
      <c r="A56" s="111" t="s">
        <v>54</v>
      </c>
      <c r="B56" s="228">
        <v>2024</v>
      </c>
      <c r="C56" s="228" t="s">
        <v>129</v>
      </c>
      <c r="D56" s="228" t="s">
        <v>130</v>
      </c>
      <c r="E56" s="227" t="s">
        <v>145</v>
      </c>
      <c r="F56" s="227" t="s">
        <v>326</v>
      </c>
      <c r="G56" s="227" t="s">
        <v>37</v>
      </c>
      <c r="H56" s="206">
        <v>6</v>
      </c>
      <c r="I56" s="206">
        <v>8000</v>
      </c>
      <c r="J56" s="206">
        <v>3840</v>
      </c>
      <c r="K56" s="206">
        <v>1692</v>
      </c>
      <c r="AC56" s="111" t="s">
        <v>85</v>
      </c>
      <c r="AD56" s="228">
        <f t="shared" si="15"/>
        <v>2023</v>
      </c>
      <c r="AE56" s="206">
        <f t="shared" si="17"/>
        <v>4</v>
      </c>
      <c r="AF56" s="206">
        <f t="shared" si="16"/>
        <v>2261</v>
      </c>
      <c r="AG56" s="206">
        <f t="shared" si="16"/>
        <v>1622</v>
      </c>
      <c r="AH56" s="206">
        <f t="shared" si="16"/>
        <v>454</v>
      </c>
    </row>
    <row r="57" spans="1:34" x14ac:dyDescent="0.25">
      <c r="A57" s="111" t="s">
        <v>56</v>
      </c>
      <c r="B57" s="228">
        <v>2024</v>
      </c>
      <c r="C57" s="228" t="s">
        <v>135</v>
      </c>
      <c r="D57" s="228" t="s">
        <v>136</v>
      </c>
      <c r="E57" s="227" t="s">
        <v>145</v>
      </c>
      <c r="F57" s="227" t="s">
        <v>300</v>
      </c>
      <c r="G57" s="227" t="s">
        <v>363</v>
      </c>
      <c r="H57" s="206">
        <v>2</v>
      </c>
      <c r="I57" s="206">
        <v>528</v>
      </c>
      <c r="J57" s="206">
        <v>712</v>
      </c>
      <c r="K57" s="206">
        <v>409</v>
      </c>
      <c r="AC57" s="111" t="s">
        <v>86</v>
      </c>
      <c r="AD57" s="228">
        <f t="shared" si="15"/>
        <v>2023</v>
      </c>
      <c r="AE57" s="206">
        <f t="shared" si="17"/>
        <v>2</v>
      </c>
      <c r="AF57" s="206">
        <f t="shared" si="16"/>
        <v>400</v>
      </c>
      <c r="AG57" s="206">
        <f t="shared" si="16"/>
        <v>206</v>
      </c>
      <c r="AH57" s="206">
        <f t="shared" si="16"/>
        <v>136</v>
      </c>
    </row>
    <row r="58" spans="1:34" x14ac:dyDescent="0.25">
      <c r="A58" s="111" t="s">
        <v>58</v>
      </c>
      <c r="B58" s="228">
        <v>2024</v>
      </c>
      <c r="C58" s="228" t="s">
        <v>137</v>
      </c>
      <c r="D58" s="228" t="s">
        <v>138</v>
      </c>
      <c r="E58" s="227" t="s">
        <v>146</v>
      </c>
      <c r="F58" s="227" t="s">
        <v>300</v>
      </c>
      <c r="G58" s="227" t="s">
        <v>27</v>
      </c>
      <c r="H58" s="206">
        <v>4</v>
      </c>
      <c r="I58" s="206">
        <v>400</v>
      </c>
      <c r="J58" s="206">
        <v>615</v>
      </c>
      <c r="K58" s="206">
        <v>146</v>
      </c>
      <c r="AC58" s="111" t="s">
        <v>52</v>
      </c>
      <c r="AD58" s="228">
        <f t="shared" si="15"/>
        <v>2023</v>
      </c>
      <c r="AE58" s="206">
        <f t="shared" si="17"/>
        <v>4</v>
      </c>
      <c r="AF58" s="206">
        <f t="shared" si="16"/>
        <v>728</v>
      </c>
      <c r="AG58" s="206">
        <f t="shared" si="16"/>
        <v>191</v>
      </c>
      <c r="AH58" s="206">
        <f t="shared" si="16"/>
        <v>119</v>
      </c>
    </row>
    <row r="59" spans="1:34" x14ac:dyDescent="0.25">
      <c r="A59" s="111" t="s">
        <v>117</v>
      </c>
      <c r="B59" s="228">
        <v>2024</v>
      </c>
      <c r="C59" s="228" t="s">
        <v>125</v>
      </c>
      <c r="D59" s="228" t="s">
        <v>134</v>
      </c>
      <c r="E59" s="227" t="s">
        <v>146</v>
      </c>
      <c r="F59" s="227" t="s">
        <v>288</v>
      </c>
      <c r="G59" s="227" t="s">
        <v>327</v>
      </c>
      <c r="H59" s="206">
        <v>2</v>
      </c>
      <c r="I59" s="206">
        <v>450</v>
      </c>
      <c r="J59" s="206">
        <v>534</v>
      </c>
      <c r="K59" s="206">
        <v>572</v>
      </c>
      <c r="AC59" s="111" t="s">
        <v>87</v>
      </c>
      <c r="AD59" s="228">
        <f t="shared" si="15"/>
        <v>2023</v>
      </c>
      <c r="AE59" s="206">
        <f t="shared" si="17"/>
        <v>2</v>
      </c>
      <c r="AF59" s="206">
        <f t="shared" si="16"/>
        <v>1102</v>
      </c>
      <c r="AG59" s="206">
        <f t="shared" si="16"/>
        <v>1102</v>
      </c>
      <c r="AH59" s="206">
        <f t="shared" si="16"/>
        <v>769</v>
      </c>
    </row>
    <row r="60" spans="1:34" x14ac:dyDescent="0.25">
      <c r="A60" s="111" t="s">
        <v>73</v>
      </c>
      <c r="B60" s="228">
        <v>2024</v>
      </c>
      <c r="C60" s="228" t="s">
        <v>132</v>
      </c>
      <c r="D60" s="228" t="s">
        <v>133</v>
      </c>
      <c r="E60" s="227"/>
      <c r="F60" s="227" t="s">
        <v>301</v>
      </c>
      <c r="G60" s="227" t="s">
        <v>328</v>
      </c>
      <c r="H60" s="206">
        <v>5</v>
      </c>
      <c r="I60" s="206">
        <v>1570</v>
      </c>
      <c r="J60" s="206">
        <v>771</v>
      </c>
      <c r="K60" s="206">
        <v>391</v>
      </c>
      <c r="AC60" s="111" t="s">
        <v>88</v>
      </c>
      <c r="AD60" s="228">
        <f t="shared" si="15"/>
        <v>2023</v>
      </c>
      <c r="AE60" s="206">
        <f t="shared" si="17"/>
        <v>2</v>
      </c>
      <c r="AF60" s="206">
        <f t="shared" si="16"/>
        <v>380</v>
      </c>
      <c r="AG60" s="206">
        <f t="shared" si="16"/>
        <v>378</v>
      </c>
      <c r="AH60" s="206">
        <f t="shared" si="16"/>
        <v>228</v>
      </c>
    </row>
    <row r="61" spans="1:34" x14ac:dyDescent="0.25">
      <c r="A61" s="111" t="s">
        <v>53</v>
      </c>
      <c r="B61" s="228">
        <v>2024</v>
      </c>
      <c r="C61" s="227" t="s">
        <v>140</v>
      </c>
      <c r="D61" s="228" t="s">
        <v>131</v>
      </c>
      <c r="E61" s="227" t="s">
        <v>145</v>
      </c>
      <c r="F61" s="227" t="s">
        <v>294</v>
      </c>
      <c r="G61" s="227" t="s">
        <v>314</v>
      </c>
      <c r="H61" s="206">
        <v>39</v>
      </c>
      <c r="I61" s="206">
        <v>1560</v>
      </c>
      <c r="J61" s="206">
        <v>499</v>
      </c>
      <c r="K61" s="206">
        <v>372</v>
      </c>
      <c r="AC61" s="111" t="s">
        <v>89</v>
      </c>
      <c r="AD61" s="228">
        <f t="shared" si="15"/>
        <v>2023</v>
      </c>
      <c r="AE61" s="206">
        <f t="shared" si="17"/>
        <v>1</v>
      </c>
      <c r="AF61" s="206">
        <f t="shared" si="16"/>
        <v>80</v>
      </c>
      <c r="AG61" s="206">
        <f t="shared" si="16"/>
        <v>80</v>
      </c>
      <c r="AH61" s="206">
        <f t="shared" si="16"/>
        <v>33</v>
      </c>
    </row>
    <row r="62" spans="1:34" x14ac:dyDescent="0.25">
      <c r="A62" s="211" t="s">
        <v>41</v>
      </c>
      <c r="B62" s="211"/>
      <c r="C62" s="211"/>
      <c r="D62" s="211"/>
      <c r="E62" s="211"/>
      <c r="F62" s="211"/>
      <c r="G62" s="211"/>
      <c r="H62" s="213">
        <f>SUM(H53:H61)</f>
        <v>119</v>
      </c>
      <c r="I62" s="213">
        <f>SUM(I53:I61)</f>
        <v>16148</v>
      </c>
      <c r="J62" s="213">
        <f>SUM(J53:J61)</f>
        <v>9438</v>
      </c>
      <c r="K62" s="213">
        <f>SUM(K53:K61)</f>
        <v>5838</v>
      </c>
      <c r="AC62" s="111" t="s">
        <v>76</v>
      </c>
      <c r="AD62" s="228">
        <f t="shared" si="15"/>
        <v>2023</v>
      </c>
      <c r="AE62" s="206">
        <f t="shared" si="17"/>
        <v>4</v>
      </c>
      <c r="AF62" s="206">
        <f t="shared" si="16"/>
        <v>100</v>
      </c>
      <c r="AG62" s="206">
        <f t="shared" si="16"/>
        <v>70</v>
      </c>
      <c r="AH62" s="206">
        <f t="shared" si="16"/>
        <v>55</v>
      </c>
    </row>
    <row r="63" spans="1:34" x14ac:dyDescent="0.25">
      <c r="AC63" s="111" t="s">
        <v>270</v>
      </c>
      <c r="AD63" s="228">
        <f t="shared" si="15"/>
        <v>2023</v>
      </c>
      <c r="AE63" s="206">
        <f t="shared" si="17"/>
        <v>1</v>
      </c>
      <c r="AF63" s="206">
        <f t="shared" si="16"/>
        <v>100</v>
      </c>
      <c r="AG63" s="206">
        <f t="shared" si="16"/>
        <v>14</v>
      </c>
      <c r="AH63" s="206">
        <f t="shared" si="16"/>
        <v>14</v>
      </c>
    </row>
    <row r="64" spans="1:34" ht="15.75" x14ac:dyDescent="0.25">
      <c r="A64" s="358" t="s">
        <v>84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AC64" s="111" t="s">
        <v>95</v>
      </c>
      <c r="AD64" s="228">
        <f t="shared" si="15"/>
        <v>2023</v>
      </c>
      <c r="AE64" s="206">
        <f t="shared" si="17"/>
        <v>0</v>
      </c>
      <c r="AF64" s="206">
        <f t="shared" si="16"/>
        <v>94</v>
      </c>
      <c r="AG64" s="206">
        <f t="shared" si="16"/>
        <v>94</v>
      </c>
      <c r="AH64" s="206">
        <f t="shared" si="16"/>
        <v>94</v>
      </c>
    </row>
    <row r="65" spans="1:34" x14ac:dyDescent="0.25">
      <c r="A65" s="214" t="s">
        <v>51</v>
      </c>
      <c r="B65" s="214" t="s">
        <v>97</v>
      </c>
      <c r="C65" s="214" t="s">
        <v>121</v>
      </c>
      <c r="D65" s="214" t="s">
        <v>122</v>
      </c>
      <c r="E65" s="214" t="s">
        <v>120</v>
      </c>
      <c r="F65" s="214" t="s">
        <v>285</v>
      </c>
      <c r="G65" s="214" t="s">
        <v>286</v>
      </c>
      <c r="H65" s="215" t="s">
        <v>63</v>
      </c>
      <c r="I65" s="215" t="s">
        <v>48</v>
      </c>
      <c r="J65" s="215" t="s">
        <v>50</v>
      </c>
      <c r="K65" s="215" t="s">
        <v>49</v>
      </c>
      <c r="AC65" s="111" t="s">
        <v>66</v>
      </c>
      <c r="AD65" s="228">
        <f t="shared" si="15"/>
        <v>2023</v>
      </c>
      <c r="AE65" s="206">
        <f>H77</f>
        <v>1</v>
      </c>
      <c r="AF65" s="206">
        <f t="shared" ref="AF65:AH66" si="18">I77</f>
        <v>101</v>
      </c>
      <c r="AG65" s="206">
        <f t="shared" si="18"/>
        <v>101</v>
      </c>
      <c r="AH65" s="206">
        <f t="shared" si="18"/>
        <v>101</v>
      </c>
    </row>
    <row r="66" spans="1:34" x14ac:dyDescent="0.25">
      <c r="A66" s="111" t="s">
        <v>119</v>
      </c>
      <c r="B66" s="228">
        <v>2023</v>
      </c>
      <c r="C66" s="228" t="s">
        <v>125</v>
      </c>
      <c r="D66" s="228" t="s">
        <v>126</v>
      </c>
      <c r="E66" s="227" t="s">
        <v>145</v>
      </c>
      <c r="F66" s="227" t="s">
        <v>290</v>
      </c>
      <c r="G66" s="227" t="s">
        <v>13</v>
      </c>
      <c r="H66" s="206">
        <v>5</v>
      </c>
      <c r="I66" s="206">
        <v>1570</v>
      </c>
      <c r="J66" s="206">
        <v>2172</v>
      </c>
      <c r="K66" s="206">
        <v>642</v>
      </c>
      <c r="AC66" s="111" t="s">
        <v>54</v>
      </c>
      <c r="AD66" s="228">
        <f t="shared" si="15"/>
        <v>2023</v>
      </c>
      <c r="AE66" s="206">
        <f t="shared" si="17"/>
        <v>2</v>
      </c>
      <c r="AF66" s="206">
        <f t="shared" si="18"/>
        <v>402</v>
      </c>
      <c r="AG66" s="206">
        <f t="shared" si="18"/>
        <v>402</v>
      </c>
      <c r="AH66" s="206">
        <f t="shared" si="18"/>
        <v>402</v>
      </c>
    </row>
    <row r="67" spans="1:34" x14ac:dyDescent="0.25">
      <c r="A67" s="111" t="s">
        <v>57</v>
      </c>
      <c r="B67" s="228">
        <v>2023</v>
      </c>
      <c r="C67" s="228" t="s">
        <v>132</v>
      </c>
      <c r="D67" s="228" t="s">
        <v>133</v>
      </c>
      <c r="E67" s="228"/>
      <c r="F67" s="227" t="s">
        <v>301</v>
      </c>
      <c r="G67" s="227" t="s">
        <v>328</v>
      </c>
      <c r="H67" s="206">
        <v>5</v>
      </c>
      <c r="I67" s="206">
        <v>4672</v>
      </c>
      <c r="J67" s="206">
        <v>1965</v>
      </c>
      <c r="K67" s="206">
        <v>939</v>
      </c>
      <c r="AC67" s="214" t="s">
        <v>41</v>
      </c>
      <c r="AD67" s="214"/>
      <c r="AE67" s="216">
        <f>SUM(AE3:AE66)</f>
        <v>713</v>
      </c>
      <c r="AF67" s="216">
        <f>SUM(AF3:AF66)</f>
        <v>100765</v>
      </c>
      <c r="AG67" s="216">
        <f>SUM(AG3:AG66)</f>
        <v>33871</v>
      </c>
      <c r="AH67" s="216">
        <f>SUM(AH3:AH66)</f>
        <v>18701</v>
      </c>
    </row>
    <row r="68" spans="1:34" x14ac:dyDescent="0.25">
      <c r="A68" s="111" t="s">
        <v>85</v>
      </c>
      <c r="B68" s="228">
        <v>2023</v>
      </c>
      <c r="C68" s="228" t="s">
        <v>143</v>
      </c>
      <c r="D68" s="228" t="s">
        <v>144</v>
      </c>
      <c r="E68" s="228"/>
      <c r="F68" s="228" t="s">
        <v>302</v>
      </c>
      <c r="G68" s="228" t="s">
        <v>329</v>
      </c>
      <c r="H68" s="206">
        <v>4</v>
      </c>
      <c r="I68" s="206">
        <v>2261</v>
      </c>
      <c r="J68" s="206">
        <v>1622</v>
      </c>
      <c r="K68" s="206">
        <v>454</v>
      </c>
    </row>
    <row r="69" spans="1:34" x14ac:dyDescent="0.25">
      <c r="A69" s="111" t="s">
        <v>86</v>
      </c>
      <c r="B69" s="228">
        <v>2023</v>
      </c>
      <c r="C69" s="228" t="s">
        <v>137</v>
      </c>
      <c r="D69" s="228" t="s">
        <v>138</v>
      </c>
      <c r="E69" s="227" t="s">
        <v>146</v>
      </c>
      <c r="F69" s="227" t="s">
        <v>300</v>
      </c>
      <c r="G69" s="227" t="s">
        <v>27</v>
      </c>
      <c r="H69" s="206">
        <v>2</v>
      </c>
      <c r="I69" s="206">
        <v>400</v>
      </c>
      <c r="J69" s="206">
        <v>206</v>
      </c>
      <c r="K69" s="206">
        <v>136</v>
      </c>
      <c r="AE69" s="110"/>
      <c r="AF69" s="110"/>
      <c r="AG69" s="110"/>
    </row>
    <row r="70" spans="1:34" ht="15.75" x14ac:dyDescent="0.25">
      <c r="A70" s="111" t="s">
        <v>52</v>
      </c>
      <c r="B70" s="228">
        <v>2023</v>
      </c>
      <c r="C70" s="228" t="s">
        <v>127</v>
      </c>
      <c r="D70" s="322" t="s">
        <v>128</v>
      </c>
      <c r="E70" s="227" t="s">
        <v>146</v>
      </c>
      <c r="F70" s="227" t="s">
        <v>297</v>
      </c>
      <c r="G70" s="227" t="s">
        <v>14</v>
      </c>
      <c r="H70" s="206">
        <v>4</v>
      </c>
      <c r="I70" s="206">
        <v>728</v>
      </c>
      <c r="J70" s="206">
        <v>191</v>
      </c>
      <c r="K70" s="206">
        <v>119</v>
      </c>
      <c r="AC70" s="356" t="s">
        <v>115</v>
      </c>
      <c r="AD70" s="356"/>
      <c r="AE70" s="356"/>
      <c r="AF70" s="356"/>
      <c r="AG70" s="356"/>
    </row>
    <row r="71" spans="1:34" x14ac:dyDescent="0.25">
      <c r="A71" s="111" t="s">
        <v>56</v>
      </c>
      <c r="B71" s="228">
        <v>2023</v>
      </c>
      <c r="C71" s="228" t="s">
        <v>135</v>
      </c>
      <c r="D71" s="322" t="s">
        <v>136</v>
      </c>
      <c r="E71" s="227" t="s">
        <v>145</v>
      </c>
      <c r="F71" s="227" t="s">
        <v>300</v>
      </c>
      <c r="G71" s="227" t="s">
        <v>363</v>
      </c>
      <c r="H71" s="206">
        <v>2</v>
      </c>
      <c r="I71" s="206">
        <v>1102</v>
      </c>
      <c r="J71" s="206">
        <v>1102</v>
      </c>
      <c r="K71" s="206">
        <v>769</v>
      </c>
      <c r="AC71" s="209" t="s">
        <v>99</v>
      </c>
      <c r="AD71" s="209" t="s">
        <v>63</v>
      </c>
      <c r="AE71" s="209" t="s">
        <v>48</v>
      </c>
      <c r="AF71" s="209" t="s">
        <v>50</v>
      </c>
      <c r="AG71" s="209" t="s">
        <v>49</v>
      </c>
    </row>
    <row r="72" spans="1:34" x14ac:dyDescent="0.25">
      <c r="A72" s="111" t="s">
        <v>88</v>
      </c>
      <c r="B72" s="228">
        <v>2023</v>
      </c>
      <c r="C72" s="228" t="s">
        <v>125</v>
      </c>
      <c r="D72" s="322" t="s">
        <v>134</v>
      </c>
      <c r="E72" s="227" t="s">
        <v>146</v>
      </c>
      <c r="F72" s="227" t="s">
        <v>288</v>
      </c>
      <c r="G72" s="227" t="s">
        <v>327</v>
      </c>
      <c r="H72" s="206">
        <v>2</v>
      </c>
      <c r="I72" s="206">
        <v>380</v>
      </c>
      <c r="J72" s="206">
        <v>378</v>
      </c>
      <c r="K72" s="206">
        <v>228</v>
      </c>
      <c r="AC72" s="228" t="s">
        <v>100</v>
      </c>
      <c r="AD72" s="310">
        <f t="shared" ref="AD72:AG74" si="19">(AK4-AK3)/AK3</f>
        <v>2.606060606060606</v>
      </c>
      <c r="AE72" s="310">
        <f t="shared" si="19"/>
        <v>0.34678899082568809</v>
      </c>
      <c r="AF72" s="310">
        <f>(AM4-AM3)/AM3</f>
        <v>0.12397284744551626</v>
      </c>
      <c r="AG72" s="310">
        <f>(AN4-AN3)/AN3</f>
        <v>0.46462619167084795</v>
      </c>
    </row>
    <row r="73" spans="1:34" x14ac:dyDescent="0.25">
      <c r="A73" s="111" t="s">
        <v>89</v>
      </c>
      <c r="B73" s="228">
        <v>2023</v>
      </c>
      <c r="C73" s="228" t="s">
        <v>267</v>
      </c>
      <c r="D73" s="322" t="s">
        <v>268</v>
      </c>
      <c r="E73" s="228"/>
      <c r="F73" s="228" t="s">
        <v>292</v>
      </c>
      <c r="G73" s="228" t="s">
        <v>308</v>
      </c>
      <c r="H73" s="206">
        <v>1</v>
      </c>
      <c r="I73" s="206">
        <v>80</v>
      </c>
      <c r="J73" s="206">
        <v>80</v>
      </c>
      <c r="K73" s="206">
        <v>33</v>
      </c>
      <c r="AC73" s="228" t="s">
        <v>101</v>
      </c>
      <c r="AD73" s="310">
        <f t="shared" si="19"/>
        <v>0.69747899159663862</v>
      </c>
      <c r="AE73" s="310">
        <f t="shared" si="19"/>
        <v>-4.694079762199653E-2</v>
      </c>
      <c r="AF73" s="310">
        <f>(AM5-AM4)/AM4</f>
        <v>0.44045348590803135</v>
      </c>
      <c r="AG73" s="310">
        <f t="shared" si="19"/>
        <v>0.18602261048304214</v>
      </c>
    </row>
    <row r="74" spans="1:34" x14ac:dyDescent="0.25">
      <c r="A74" s="111" t="s">
        <v>76</v>
      </c>
      <c r="B74" s="228">
        <v>2023</v>
      </c>
      <c r="C74" s="228"/>
      <c r="D74" s="228"/>
      <c r="E74" s="228"/>
      <c r="F74" s="228" t="s">
        <v>294</v>
      </c>
      <c r="G74" s="228"/>
      <c r="H74" s="206">
        <v>4</v>
      </c>
      <c r="I74" s="206">
        <v>100</v>
      </c>
      <c r="J74" s="206">
        <v>70</v>
      </c>
      <c r="K74" s="206">
        <v>55</v>
      </c>
      <c r="AC74" s="228" t="s">
        <v>109</v>
      </c>
      <c r="AD74" s="310">
        <f t="shared" si="19"/>
        <v>0.77722772277227725</v>
      </c>
      <c r="AE74" s="310">
        <f t="shared" si="19"/>
        <v>2.7191033138401561</v>
      </c>
      <c r="AF74" s="310">
        <f>(AM6-AM5)/AM5</f>
        <v>-0.82044869437293122</v>
      </c>
      <c r="AG74" s="310">
        <f>(AN6-AN5)/AN5</f>
        <v>-0.71793760831889086</v>
      </c>
    </row>
    <row r="75" spans="1:34" x14ac:dyDescent="0.25">
      <c r="A75" s="111" t="s">
        <v>270</v>
      </c>
      <c r="B75" s="228">
        <v>2023</v>
      </c>
      <c r="C75" s="228" t="s">
        <v>269</v>
      </c>
      <c r="D75" s="228" t="s">
        <v>271</v>
      </c>
      <c r="E75" s="228"/>
      <c r="F75" s="228" t="s">
        <v>331</v>
      </c>
      <c r="G75" s="228" t="s">
        <v>330</v>
      </c>
      <c r="H75" s="206">
        <v>1</v>
      </c>
      <c r="I75" s="206">
        <v>100</v>
      </c>
      <c r="J75" s="206">
        <v>14</v>
      </c>
      <c r="K75" s="206">
        <v>14</v>
      </c>
      <c r="AC75" s="228" t="s">
        <v>102</v>
      </c>
      <c r="AD75" s="310">
        <f>(AK5-AK3)/AK3</f>
        <v>5.1212121212121211</v>
      </c>
      <c r="AE75" s="310">
        <f>(AL5-AL3)/AL3</f>
        <v>0.28356964136780649</v>
      </c>
      <c r="AF75" s="310">
        <f>(AM5-AM3)/AM3</f>
        <v>0.61903060616886985</v>
      </c>
      <c r="AG75" s="310">
        <f>(AN5-AN3)/AN3</f>
        <v>0.73707977922729551</v>
      </c>
    </row>
    <row r="76" spans="1:34" x14ac:dyDescent="0.25">
      <c r="A76" s="111" t="s">
        <v>372</v>
      </c>
      <c r="B76" s="228">
        <v>2023</v>
      </c>
      <c r="C76" s="228" t="s">
        <v>373</v>
      </c>
      <c r="D76" s="228" t="s">
        <v>374</v>
      </c>
      <c r="E76" s="228"/>
      <c r="F76" s="228" t="s">
        <v>375</v>
      </c>
      <c r="G76" s="228" t="s">
        <v>33</v>
      </c>
      <c r="H76" s="206"/>
      <c r="I76" s="206">
        <v>94</v>
      </c>
      <c r="J76" s="206">
        <v>94</v>
      </c>
      <c r="K76" s="206">
        <v>94</v>
      </c>
      <c r="AC76" s="228" t="s">
        <v>108</v>
      </c>
      <c r="AD76" s="310">
        <f>(AK6-AK3)/AK3</f>
        <v>9.8787878787878789</v>
      </c>
      <c r="AE76" s="310">
        <f>(AL6-AL3)/AL3</f>
        <v>3.7737281067556299</v>
      </c>
      <c r="AF76" s="310">
        <f>(AM6-AM3)/AM3</f>
        <v>-0.70930094081219486</v>
      </c>
      <c r="AG76" s="310">
        <f>(AN6-AN3)/AN3</f>
        <v>-0.51003512293025588</v>
      </c>
    </row>
    <row r="77" spans="1:34" x14ac:dyDescent="0.25">
      <c r="A77" s="111" t="s">
        <v>88</v>
      </c>
      <c r="B77" s="228">
        <v>2023</v>
      </c>
      <c r="C77" s="228" t="s">
        <v>370</v>
      </c>
      <c r="D77" s="228" t="s">
        <v>371</v>
      </c>
      <c r="E77" s="227" t="s">
        <v>146</v>
      </c>
      <c r="F77" s="228" t="s">
        <v>288</v>
      </c>
      <c r="G77" s="228" t="s">
        <v>30</v>
      </c>
      <c r="H77" s="206">
        <v>1</v>
      </c>
      <c r="I77" s="206">
        <v>101</v>
      </c>
      <c r="J77" s="206">
        <v>101</v>
      </c>
      <c r="K77" s="206">
        <v>101</v>
      </c>
    </row>
    <row r="78" spans="1:34" x14ac:dyDescent="0.25">
      <c r="A78" s="111" t="s">
        <v>54</v>
      </c>
      <c r="B78" s="228">
        <v>2023</v>
      </c>
      <c r="C78" s="228" t="s">
        <v>129</v>
      </c>
      <c r="D78" s="228" t="s">
        <v>130</v>
      </c>
      <c r="E78" s="227" t="s">
        <v>145</v>
      </c>
      <c r="F78" s="227" t="s">
        <v>326</v>
      </c>
      <c r="G78" s="227" t="s">
        <v>37</v>
      </c>
      <c r="H78" s="206">
        <v>2</v>
      </c>
      <c r="I78" s="206">
        <v>402</v>
      </c>
      <c r="J78" s="206">
        <v>402</v>
      </c>
      <c r="K78" s="206">
        <v>402</v>
      </c>
    </row>
    <row r="79" spans="1:34" x14ac:dyDescent="0.25">
      <c r="A79" s="214" t="s">
        <v>41</v>
      </c>
      <c r="B79" s="214"/>
      <c r="C79" s="214"/>
      <c r="D79" s="214"/>
      <c r="E79" s="214"/>
      <c r="F79" s="214"/>
      <c r="G79" s="214"/>
      <c r="H79" s="216">
        <f>SUM(H66:H78)</f>
        <v>33</v>
      </c>
      <c r="I79" s="216">
        <f>SUM(I66:I78)</f>
        <v>11990</v>
      </c>
      <c r="J79" s="216">
        <f>SUM(J66:J78)</f>
        <v>8397</v>
      </c>
      <c r="K79" s="216">
        <f>SUM(K66:K78)</f>
        <v>3986</v>
      </c>
    </row>
  </sheetData>
  <mergeCells count="7">
    <mergeCell ref="AJ1:AO1"/>
    <mergeCell ref="AC70:AG70"/>
    <mergeCell ref="A40:K40"/>
    <mergeCell ref="A51:K51"/>
    <mergeCell ref="A64:K64"/>
    <mergeCell ref="AC1:AH1"/>
    <mergeCell ref="A1:K1"/>
  </mergeCells>
  <phoneticPr fontId="24" type="noConversion"/>
  <conditionalFormatting sqref="C3:C3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landscape" r:id="rId1"/>
  <ignoredErrors>
    <ignoredError sqref="E43 E47 E55 E58:E59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8A8B-45F0-4C42-A9DA-439C8866EE0E}">
  <sheetPr>
    <pageSetUpPr fitToPage="1"/>
  </sheetPr>
  <dimension ref="A1:N70"/>
  <sheetViews>
    <sheetView tabSelected="1" workbookViewId="0">
      <pane ySplit="1" topLeftCell="A34" activePane="bottomLeft" state="frozen"/>
      <selection pane="bottomLeft" activeCell="A46" sqref="A46"/>
    </sheetView>
  </sheetViews>
  <sheetFormatPr defaultRowHeight="15" x14ac:dyDescent="0.25"/>
  <cols>
    <col min="1" max="1" width="31.42578125" bestFit="1" customWidth="1"/>
    <col min="2" max="2" width="94.28515625" bestFit="1" customWidth="1"/>
    <col min="3" max="3" width="9" bestFit="1" customWidth="1"/>
    <col min="4" max="4" width="31.5703125" bestFit="1" customWidth="1"/>
    <col min="5" max="5" width="20.28515625" bestFit="1" customWidth="1"/>
    <col min="6" max="6" width="21.42578125" bestFit="1" customWidth="1"/>
    <col min="7" max="7" width="12.140625" bestFit="1" customWidth="1"/>
    <col min="8" max="8" width="7.85546875" bestFit="1" customWidth="1"/>
    <col min="9" max="9" width="24.140625" bestFit="1" customWidth="1"/>
    <col min="10" max="10" width="25.28515625" customWidth="1"/>
    <col min="11" max="11" width="12" bestFit="1" customWidth="1"/>
    <col min="12" max="12" width="11.140625" bestFit="1" customWidth="1"/>
    <col min="13" max="13" width="17.140625" bestFit="1" customWidth="1"/>
    <col min="14" max="14" width="16.85546875" bestFit="1" customWidth="1"/>
  </cols>
  <sheetData>
    <row r="1" spans="1:14" x14ac:dyDescent="0.25">
      <c r="A1" s="319" t="s">
        <v>278</v>
      </c>
      <c r="B1" s="319" t="s">
        <v>51</v>
      </c>
      <c r="C1" s="319" t="s">
        <v>97</v>
      </c>
      <c r="D1" s="319" t="s">
        <v>121</v>
      </c>
      <c r="E1" s="319" t="s">
        <v>122</v>
      </c>
      <c r="F1" s="319" t="s">
        <v>120</v>
      </c>
      <c r="G1" s="319" t="s">
        <v>0</v>
      </c>
      <c r="H1" s="319" t="s">
        <v>285</v>
      </c>
      <c r="I1" s="319" t="s">
        <v>286</v>
      </c>
      <c r="J1" s="319" t="s">
        <v>361</v>
      </c>
      <c r="K1" s="320" t="s">
        <v>63</v>
      </c>
      <c r="L1" s="320" t="s">
        <v>48</v>
      </c>
      <c r="M1" s="320" t="s">
        <v>50</v>
      </c>
      <c r="N1" s="320" t="s">
        <v>49</v>
      </c>
    </row>
    <row r="2" spans="1:14" x14ac:dyDescent="0.25">
      <c r="A2" s="111" t="s">
        <v>369</v>
      </c>
      <c r="B2" s="111" t="s">
        <v>191</v>
      </c>
      <c r="C2" s="228">
        <v>2026</v>
      </c>
      <c r="D2" s="228" t="s">
        <v>192</v>
      </c>
      <c r="E2" s="228" t="s">
        <v>193</v>
      </c>
      <c r="F2" s="228" t="s">
        <v>177</v>
      </c>
      <c r="G2" s="228" t="s">
        <v>9</v>
      </c>
      <c r="H2" s="228" t="s">
        <v>293</v>
      </c>
      <c r="I2" s="228" t="s">
        <v>311</v>
      </c>
      <c r="J2" s="228" t="s">
        <v>311</v>
      </c>
      <c r="K2" s="230">
        <v>13</v>
      </c>
      <c r="L2" s="230">
        <v>275</v>
      </c>
      <c r="M2" s="230"/>
      <c r="N2" s="230"/>
    </row>
    <row r="3" spans="1:14" x14ac:dyDescent="0.25">
      <c r="A3" s="111" t="s">
        <v>369</v>
      </c>
      <c r="B3" s="111" t="s">
        <v>194</v>
      </c>
      <c r="C3" s="228">
        <v>2026</v>
      </c>
      <c r="D3" s="228" t="s">
        <v>195</v>
      </c>
      <c r="E3" s="228" t="s">
        <v>196</v>
      </c>
      <c r="F3" s="228" t="s">
        <v>177</v>
      </c>
      <c r="G3" s="228" t="s">
        <v>29</v>
      </c>
      <c r="H3" s="228" t="s">
        <v>288</v>
      </c>
      <c r="I3" s="228" t="s">
        <v>312</v>
      </c>
      <c r="J3" s="228" t="s">
        <v>312</v>
      </c>
      <c r="K3" s="230">
        <v>23</v>
      </c>
      <c r="L3" s="230">
        <v>592</v>
      </c>
      <c r="M3" s="230"/>
      <c r="N3" s="230"/>
    </row>
    <row r="4" spans="1:14" x14ac:dyDescent="0.25">
      <c r="A4" s="111" t="s">
        <v>369</v>
      </c>
      <c r="B4" s="111" t="s">
        <v>206</v>
      </c>
      <c r="C4" s="228">
        <v>2027</v>
      </c>
      <c r="D4" s="228" t="s">
        <v>207</v>
      </c>
      <c r="E4" s="228" t="s">
        <v>208</v>
      </c>
      <c r="F4" s="228" t="s">
        <v>177</v>
      </c>
      <c r="G4" s="228" t="s">
        <v>29</v>
      </c>
      <c r="H4" s="228" t="s">
        <v>288</v>
      </c>
      <c r="I4" s="228" t="s">
        <v>313</v>
      </c>
      <c r="J4" s="228" t="s">
        <v>333</v>
      </c>
      <c r="K4" s="230">
        <v>3</v>
      </c>
      <c r="L4" s="230">
        <v>150</v>
      </c>
      <c r="M4" s="230"/>
      <c r="N4" s="230"/>
    </row>
    <row r="5" spans="1:14" x14ac:dyDescent="0.25">
      <c r="A5" s="111" t="s">
        <v>369</v>
      </c>
      <c r="B5" s="111" t="s">
        <v>212</v>
      </c>
      <c r="C5" s="228">
        <v>2026</v>
      </c>
      <c r="D5" s="228" t="s">
        <v>213</v>
      </c>
      <c r="E5" s="228" t="s">
        <v>214</v>
      </c>
      <c r="F5" s="228" t="s">
        <v>177</v>
      </c>
      <c r="G5" s="228" t="s">
        <v>364</v>
      </c>
      <c r="H5" s="228" t="s">
        <v>295</v>
      </c>
      <c r="I5" s="228" t="s">
        <v>315</v>
      </c>
      <c r="J5" s="228" t="s">
        <v>334</v>
      </c>
      <c r="K5" s="230">
        <v>4</v>
      </c>
      <c r="L5" s="230">
        <v>250</v>
      </c>
      <c r="M5" s="230"/>
      <c r="N5" s="230"/>
    </row>
    <row r="6" spans="1:14" x14ac:dyDescent="0.25">
      <c r="A6" s="111" t="s">
        <v>369</v>
      </c>
      <c r="B6" s="111" t="s">
        <v>218</v>
      </c>
      <c r="C6" s="228">
        <v>2026</v>
      </c>
      <c r="D6" s="228" t="s">
        <v>219</v>
      </c>
      <c r="E6" s="228" t="s">
        <v>220</v>
      </c>
      <c r="F6" s="228" t="s">
        <v>177</v>
      </c>
      <c r="G6" s="228" t="s">
        <v>9</v>
      </c>
      <c r="H6" s="228" t="s">
        <v>293</v>
      </c>
      <c r="I6" s="228" t="s">
        <v>319</v>
      </c>
      <c r="J6" s="228" t="s">
        <v>319</v>
      </c>
      <c r="K6" s="230">
        <v>1</v>
      </c>
      <c r="L6" s="230">
        <v>200</v>
      </c>
      <c r="M6" s="230"/>
      <c r="N6" s="230"/>
    </row>
    <row r="7" spans="1:14" x14ac:dyDescent="0.25">
      <c r="A7" s="111" t="s">
        <v>369</v>
      </c>
      <c r="B7" s="111" t="s">
        <v>221</v>
      </c>
      <c r="C7" s="228">
        <v>2026</v>
      </c>
      <c r="D7" s="228" t="s">
        <v>222</v>
      </c>
      <c r="E7" s="228" t="s">
        <v>223</v>
      </c>
      <c r="F7" s="228" t="s">
        <v>177</v>
      </c>
      <c r="G7" s="228" t="s">
        <v>9</v>
      </c>
      <c r="H7" s="228" t="s">
        <v>287</v>
      </c>
      <c r="I7" s="228" t="s">
        <v>321</v>
      </c>
      <c r="J7" s="228" t="s">
        <v>321</v>
      </c>
      <c r="K7" s="230">
        <v>9</v>
      </c>
      <c r="L7" s="230">
        <v>1280</v>
      </c>
      <c r="M7" s="230"/>
      <c r="N7" s="230"/>
    </row>
    <row r="8" spans="1:14" x14ac:dyDescent="0.25">
      <c r="A8" s="111" t="s">
        <v>369</v>
      </c>
      <c r="B8" s="111" t="s">
        <v>224</v>
      </c>
      <c r="C8" s="228">
        <v>2026</v>
      </c>
      <c r="D8" s="228" t="s">
        <v>225</v>
      </c>
      <c r="E8" s="228" t="s">
        <v>226</v>
      </c>
      <c r="F8" s="228" t="s">
        <v>177</v>
      </c>
      <c r="G8" s="228" t="s">
        <v>9</v>
      </c>
      <c r="H8" s="228" t="s">
        <v>296</v>
      </c>
      <c r="I8" s="228" t="s">
        <v>316</v>
      </c>
      <c r="J8" s="228" t="s">
        <v>335</v>
      </c>
      <c r="K8" s="230">
        <v>21</v>
      </c>
      <c r="L8" s="230">
        <v>420</v>
      </c>
      <c r="M8" s="230"/>
      <c r="N8" s="230"/>
    </row>
    <row r="9" spans="1:14" x14ac:dyDescent="0.25">
      <c r="A9" s="111" t="s">
        <v>369</v>
      </c>
      <c r="B9" s="111" t="s">
        <v>227</v>
      </c>
      <c r="C9" s="228">
        <v>2026</v>
      </c>
      <c r="D9" s="228" t="s">
        <v>228</v>
      </c>
      <c r="E9" s="228" t="s">
        <v>229</v>
      </c>
      <c r="F9" s="228" t="s">
        <v>177</v>
      </c>
      <c r="G9" s="228" t="s">
        <v>9</v>
      </c>
      <c r="H9" s="228" t="s">
        <v>296</v>
      </c>
      <c r="I9" s="228" t="s">
        <v>322</v>
      </c>
      <c r="J9" s="228" t="s">
        <v>322</v>
      </c>
      <c r="K9" s="230">
        <v>5</v>
      </c>
      <c r="L9" s="230">
        <v>200</v>
      </c>
      <c r="M9" s="230"/>
      <c r="N9" s="230"/>
    </row>
    <row r="10" spans="1:14" x14ac:dyDescent="0.25">
      <c r="A10" s="111" t="s">
        <v>369</v>
      </c>
      <c r="B10" s="111" t="s">
        <v>230</v>
      </c>
      <c r="C10" s="228">
        <v>2026</v>
      </c>
      <c r="D10" s="228" t="s">
        <v>231</v>
      </c>
      <c r="E10" s="228" t="s">
        <v>232</v>
      </c>
      <c r="F10" s="228" t="s">
        <v>177</v>
      </c>
      <c r="G10" s="228" t="s">
        <v>9</v>
      </c>
      <c r="H10" s="228" t="s">
        <v>292</v>
      </c>
      <c r="I10" s="228" t="s">
        <v>320</v>
      </c>
      <c r="J10" s="228" t="s">
        <v>336</v>
      </c>
      <c r="K10" s="230">
        <v>1</v>
      </c>
      <c r="L10" s="230">
        <v>150</v>
      </c>
      <c r="M10" s="230"/>
      <c r="N10" s="230"/>
    </row>
    <row r="11" spans="1:14" x14ac:dyDescent="0.25">
      <c r="A11" s="111" t="s">
        <v>369</v>
      </c>
      <c r="B11" s="111" t="s">
        <v>230</v>
      </c>
      <c r="C11" s="228">
        <v>2026</v>
      </c>
      <c r="D11" s="228" t="s">
        <v>233</v>
      </c>
      <c r="E11" s="228" t="s">
        <v>234</v>
      </c>
      <c r="F11" s="228" t="s">
        <v>177</v>
      </c>
      <c r="G11" s="228" t="s">
        <v>9</v>
      </c>
      <c r="H11" s="228" t="s">
        <v>292</v>
      </c>
      <c r="I11" s="228" t="s">
        <v>320</v>
      </c>
      <c r="J11" s="228" t="s">
        <v>336</v>
      </c>
      <c r="K11" s="230">
        <v>2</v>
      </c>
      <c r="L11" s="230">
        <v>150</v>
      </c>
      <c r="M11" s="230"/>
      <c r="N11" s="230"/>
    </row>
    <row r="12" spans="1:14" x14ac:dyDescent="0.25">
      <c r="A12" s="111" t="s">
        <v>369</v>
      </c>
      <c r="B12" s="111" t="s">
        <v>235</v>
      </c>
      <c r="C12" s="228">
        <v>2026</v>
      </c>
      <c r="D12" s="228" t="s">
        <v>236</v>
      </c>
      <c r="E12" s="228" t="s">
        <v>237</v>
      </c>
      <c r="F12" s="228" t="s">
        <v>177</v>
      </c>
      <c r="G12" s="228" t="s">
        <v>20</v>
      </c>
      <c r="H12" s="228" t="s">
        <v>289</v>
      </c>
      <c r="I12" s="228" t="s">
        <v>317</v>
      </c>
      <c r="J12" s="228" t="s">
        <v>317</v>
      </c>
      <c r="K12" s="230">
        <v>5</v>
      </c>
      <c r="L12" s="230">
        <v>400</v>
      </c>
      <c r="M12" s="230"/>
      <c r="N12" s="230"/>
    </row>
    <row r="13" spans="1:14" x14ac:dyDescent="0.25">
      <c r="A13" s="111" t="s">
        <v>369</v>
      </c>
      <c r="B13" s="111" t="s">
        <v>241</v>
      </c>
      <c r="C13" s="228">
        <v>2026</v>
      </c>
      <c r="D13" s="228" t="s">
        <v>242</v>
      </c>
      <c r="E13" s="228" t="s">
        <v>243</v>
      </c>
      <c r="F13" s="228" t="s">
        <v>177</v>
      </c>
      <c r="G13" s="228" t="s">
        <v>9</v>
      </c>
      <c r="H13" s="228" t="s">
        <v>297</v>
      </c>
      <c r="I13" s="228" t="s">
        <v>323</v>
      </c>
      <c r="J13" s="228" t="s">
        <v>323</v>
      </c>
      <c r="K13" s="230">
        <v>20</v>
      </c>
      <c r="L13" s="230">
        <v>600</v>
      </c>
      <c r="M13" s="230"/>
      <c r="N13" s="230"/>
    </row>
    <row r="14" spans="1:14" x14ac:dyDescent="0.25">
      <c r="A14" s="111" t="s">
        <v>369</v>
      </c>
      <c r="B14" s="111" t="s">
        <v>244</v>
      </c>
      <c r="C14" s="228">
        <v>2027</v>
      </c>
      <c r="D14" s="228" t="s">
        <v>245</v>
      </c>
      <c r="E14" s="228" t="s">
        <v>246</v>
      </c>
      <c r="F14" s="228" t="s">
        <v>177</v>
      </c>
      <c r="G14" s="228" t="s">
        <v>29</v>
      </c>
      <c r="H14" s="228" t="s">
        <v>288</v>
      </c>
      <c r="I14" s="228" t="s">
        <v>318</v>
      </c>
      <c r="J14" s="228" t="s">
        <v>318</v>
      </c>
      <c r="K14" s="230">
        <v>4</v>
      </c>
      <c r="L14" s="230">
        <v>3600</v>
      </c>
      <c r="M14" s="230"/>
      <c r="N14" s="230"/>
    </row>
    <row r="15" spans="1:14" x14ac:dyDescent="0.25">
      <c r="A15" s="111" t="s">
        <v>369</v>
      </c>
      <c r="B15" s="111" t="s">
        <v>381</v>
      </c>
      <c r="C15" s="228">
        <v>2026</v>
      </c>
      <c r="D15" s="228" t="s">
        <v>251</v>
      </c>
      <c r="E15" s="228" t="s">
        <v>252</v>
      </c>
      <c r="F15" s="228" t="s">
        <v>177</v>
      </c>
      <c r="G15" s="228" t="s">
        <v>9</v>
      </c>
      <c r="H15" s="228" t="s">
        <v>287</v>
      </c>
      <c r="I15" s="228" t="s">
        <v>303</v>
      </c>
      <c r="J15" s="228" t="s">
        <v>303</v>
      </c>
      <c r="K15" s="230">
        <v>4</v>
      </c>
      <c r="L15" s="230">
        <v>125</v>
      </c>
      <c r="M15" s="230"/>
      <c r="N15" s="230"/>
    </row>
    <row r="16" spans="1:14" x14ac:dyDescent="0.25">
      <c r="A16" s="111" t="s">
        <v>369</v>
      </c>
      <c r="B16" s="111" t="s">
        <v>381</v>
      </c>
      <c r="C16" s="228">
        <v>2027</v>
      </c>
      <c r="D16" s="228" t="s">
        <v>251</v>
      </c>
      <c r="E16" s="228" t="s">
        <v>252</v>
      </c>
      <c r="F16" s="228" t="s">
        <v>177</v>
      </c>
      <c r="G16" s="228" t="s">
        <v>9</v>
      </c>
      <c r="H16" s="228" t="s">
        <v>287</v>
      </c>
      <c r="I16" s="228" t="s">
        <v>303</v>
      </c>
      <c r="J16" s="228" t="s">
        <v>303</v>
      </c>
      <c r="K16" s="230">
        <v>11</v>
      </c>
      <c r="L16" s="230">
        <v>2375</v>
      </c>
      <c r="M16" s="230"/>
      <c r="N16" s="230"/>
    </row>
    <row r="17" spans="1:14" x14ac:dyDescent="0.25">
      <c r="A17" s="111" t="s">
        <v>367</v>
      </c>
      <c r="B17" s="111" t="s">
        <v>376</v>
      </c>
      <c r="C17" s="228">
        <v>2026</v>
      </c>
      <c r="D17" s="228" t="s">
        <v>123</v>
      </c>
      <c r="E17" s="228" t="s">
        <v>124</v>
      </c>
      <c r="F17" s="228" t="s">
        <v>175</v>
      </c>
      <c r="G17" s="228" t="s">
        <v>9</v>
      </c>
      <c r="H17" s="228" t="s">
        <v>287</v>
      </c>
      <c r="I17" s="228" t="s">
        <v>303</v>
      </c>
      <c r="J17" s="228" t="s">
        <v>337</v>
      </c>
      <c r="K17" s="230">
        <v>4</v>
      </c>
      <c r="L17" s="230">
        <v>820</v>
      </c>
      <c r="M17" s="230">
        <v>646</v>
      </c>
      <c r="N17" s="230">
        <v>311</v>
      </c>
    </row>
    <row r="18" spans="1:14" x14ac:dyDescent="0.25">
      <c r="A18" s="111" t="s">
        <v>367</v>
      </c>
      <c r="B18" s="111" t="s">
        <v>154</v>
      </c>
      <c r="C18" s="228">
        <v>2026</v>
      </c>
      <c r="D18" s="228" t="s">
        <v>165</v>
      </c>
      <c r="E18" s="228" t="s">
        <v>178</v>
      </c>
      <c r="F18" s="228" t="s">
        <v>177</v>
      </c>
      <c r="G18" s="228" t="s">
        <v>20</v>
      </c>
      <c r="H18" s="228" t="s">
        <v>289</v>
      </c>
      <c r="I18" s="228" t="s">
        <v>304</v>
      </c>
      <c r="J18" s="228" t="s">
        <v>362</v>
      </c>
      <c r="K18" s="230">
        <v>3</v>
      </c>
      <c r="L18" s="230">
        <v>60</v>
      </c>
      <c r="M18" s="230"/>
      <c r="N18" s="230"/>
    </row>
    <row r="19" spans="1:14" x14ac:dyDescent="0.25">
      <c r="A19" s="111" t="s">
        <v>367</v>
      </c>
      <c r="B19" s="111" t="s">
        <v>154</v>
      </c>
      <c r="C19" s="228">
        <v>2027</v>
      </c>
      <c r="D19" s="228" t="s">
        <v>165</v>
      </c>
      <c r="E19" s="228" t="s">
        <v>178</v>
      </c>
      <c r="F19" s="228" t="s">
        <v>177</v>
      </c>
      <c r="G19" s="228" t="s">
        <v>20</v>
      </c>
      <c r="H19" s="228" t="s">
        <v>289</v>
      </c>
      <c r="I19" s="228" t="s">
        <v>304</v>
      </c>
      <c r="J19" s="228" t="s">
        <v>362</v>
      </c>
      <c r="K19" s="230">
        <v>3</v>
      </c>
      <c r="L19" s="230">
        <v>340</v>
      </c>
      <c r="M19" s="230"/>
      <c r="N19" s="230"/>
    </row>
    <row r="20" spans="1:14" x14ac:dyDescent="0.25">
      <c r="A20" s="111" t="s">
        <v>367</v>
      </c>
      <c r="B20" s="111" t="s">
        <v>197</v>
      </c>
      <c r="C20" s="228">
        <v>2026</v>
      </c>
      <c r="D20" s="228" t="s">
        <v>198</v>
      </c>
      <c r="E20" s="228" t="s">
        <v>199</v>
      </c>
      <c r="F20" s="228" t="s">
        <v>177</v>
      </c>
      <c r="G20" s="228" t="s">
        <v>9</v>
      </c>
      <c r="H20" s="228" t="s">
        <v>291</v>
      </c>
      <c r="I20" s="228" t="s">
        <v>305</v>
      </c>
      <c r="J20" s="228" t="s">
        <v>305</v>
      </c>
      <c r="K20" s="230">
        <v>20</v>
      </c>
      <c r="L20" s="230">
        <v>800</v>
      </c>
      <c r="M20" s="230"/>
      <c r="N20" s="230"/>
    </row>
    <row r="21" spans="1:14" x14ac:dyDescent="0.25">
      <c r="A21" s="111" t="s">
        <v>367</v>
      </c>
      <c r="B21" s="111" t="s">
        <v>200</v>
      </c>
      <c r="C21" s="228">
        <v>2026</v>
      </c>
      <c r="D21" s="228" t="s">
        <v>201</v>
      </c>
      <c r="E21" s="228" t="s">
        <v>202</v>
      </c>
      <c r="F21" s="228" t="s">
        <v>177</v>
      </c>
      <c r="G21" s="228" t="s">
        <v>9</v>
      </c>
      <c r="H21" s="228" t="s">
        <v>291</v>
      </c>
      <c r="I21" s="228" t="s">
        <v>305</v>
      </c>
      <c r="J21" s="228" t="s">
        <v>338</v>
      </c>
      <c r="K21" s="230">
        <v>20</v>
      </c>
      <c r="L21" s="230">
        <v>220</v>
      </c>
      <c r="M21" s="230"/>
      <c r="N21" s="230"/>
    </row>
    <row r="22" spans="1:14" x14ac:dyDescent="0.25">
      <c r="A22" s="111" t="s">
        <v>367</v>
      </c>
      <c r="B22" s="111" t="s">
        <v>203</v>
      </c>
      <c r="C22" s="228">
        <v>2026</v>
      </c>
      <c r="D22" s="228" t="s">
        <v>204</v>
      </c>
      <c r="E22" s="228" t="s">
        <v>205</v>
      </c>
      <c r="F22" s="228" t="s">
        <v>177</v>
      </c>
      <c r="G22" s="228" t="s">
        <v>9</v>
      </c>
      <c r="H22" s="228" t="s">
        <v>291</v>
      </c>
      <c r="I22" s="228" t="s">
        <v>305</v>
      </c>
      <c r="J22" s="228" t="s">
        <v>307</v>
      </c>
      <c r="K22" s="230">
        <v>20</v>
      </c>
      <c r="L22" s="230">
        <v>1620</v>
      </c>
      <c r="M22" s="230"/>
      <c r="N22" s="230"/>
    </row>
    <row r="23" spans="1:14" x14ac:dyDescent="0.25">
      <c r="A23" s="111" t="s">
        <v>367</v>
      </c>
      <c r="B23" s="111" t="s">
        <v>209</v>
      </c>
      <c r="C23" s="228">
        <v>2026</v>
      </c>
      <c r="D23" s="228" t="s">
        <v>210</v>
      </c>
      <c r="E23" s="228" t="s">
        <v>211</v>
      </c>
      <c r="F23" s="228" t="s">
        <v>177</v>
      </c>
      <c r="G23" s="228" t="s">
        <v>20</v>
      </c>
      <c r="H23" s="228" t="s">
        <v>294</v>
      </c>
      <c r="I23" s="228" t="s">
        <v>314</v>
      </c>
      <c r="J23" s="228" t="s">
        <v>339</v>
      </c>
      <c r="K23" s="230">
        <v>23</v>
      </c>
      <c r="L23" s="230">
        <v>500</v>
      </c>
      <c r="M23" s="230"/>
      <c r="N23" s="230"/>
    </row>
    <row r="24" spans="1:14" x14ac:dyDescent="0.25">
      <c r="A24" s="111" t="s">
        <v>367</v>
      </c>
      <c r="B24" s="111" t="s">
        <v>238</v>
      </c>
      <c r="C24" s="228">
        <v>2026</v>
      </c>
      <c r="D24" s="228" t="s">
        <v>239</v>
      </c>
      <c r="E24" s="228" t="s">
        <v>240</v>
      </c>
      <c r="F24" s="228" t="s">
        <v>177</v>
      </c>
      <c r="G24" s="228" t="s">
        <v>20</v>
      </c>
      <c r="H24" s="228" t="s">
        <v>294</v>
      </c>
      <c r="I24" s="228" t="s">
        <v>314</v>
      </c>
      <c r="J24" s="228" t="s">
        <v>340</v>
      </c>
      <c r="K24" s="230">
        <v>7</v>
      </c>
      <c r="L24" s="230">
        <v>5500</v>
      </c>
      <c r="M24" s="230"/>
      <c r="N24" s="230"/>
    </row>
    <row r="25" spans="1:14" x14ac:dyDescent="0.25">
      <c r="A25" s="111" t="s">
        <v>367</v>
      </c>
      <c r="B25" s="111" t="s">
        <v>247</v>
      </c>
      <c r="C25" s="228">
        <v>2027</v>
      </c>
      <c r="D25" s="228" t="s">
        <v>248</v>
      </c>
      <c r="E25" s="228" t="s">
        <v>249</v>
      </c>
      <c r="F25" s="228" t="s">
        <v>177</v>
      </c>
      <c r="G25" s="228" t="s">
        <v>20</v>
      </c>
      <c r="H25" s="228" t="s">
        <v>298</v>
      </c>
      <c r="I25" s="228" t="s">
        <v>324</v>
      </c>
      <c r="J25" s="228" t="s">
        <v>341</v>
      </c>
      <c r="K25" s="230">
        <v>4</v>
      </c>
      <c r="L25" s="230">
        <v>325</v>
      </c>
      <c r="M25" s="230"/>
      <c r="N25" s="230"/>
    </row>
    <row r="26" spans="1:14" x14ac:dyDescent="0.25">
      <c r="A26" s="111" t="s">
        <v>365</v>
      </c>
      <c r="B26" s="111" t="s">
        <v>156</v>
      </c>
      <c r="C26" s="228">
        <v>2026</v>
      </c>
      <c r="D26" s="228" t="s">
        <v>167</v>
      </c>
      <c r="E26" s="228" t="s">
        <v>180</v>
      </c>
      <c r="F26" s="228" t="s">
        <v>177</v>
      </c>
      <c r="G26" s="228" t="s">
        <v>9</v>
      </c>
      <c r="H26" s="228" t="s">
        <v>290</v>
      </c>
      <c r="I26" s="228" t="s">
        <v>13</v>
      </c>
      <c r="J26" s="228" t="s">
        <v>342</v>
      </c>
      <c r="K26" s="230">
        <v>25</v>
      </c>
      <c r="L26" s="230">
        <v>15640</v>
      </c>
      <c r="M26" s="230"/>
      <c r="N26" s="230"/>
    </row>
    <row r="27" spans="1:14" x14ac:dyDescent="0.25">
      <c r="A27" s="111" t="s">
        <v>365</v>
      </c>
      <c r="B27" s="111" t="s">
        <v>157</v>
      </c>
      <c r="C27" s="228">
        <v>2026</v>
      </c>
      <c r="D27" s="228" t="s">
        <v>168</v>
      </c>
      <c r="E27" s="228" t="s">
        <v>181</v>
      </c>
      <c r="F27" s="228" t="s">
        <v>177</v>
      </c>
      <c r="G27" s="228" t="s">
        <v>9</v>
      </c>
      <c r="H27" s="228" t="s">
        <v>291</v>
      </c>
      <c r="I27" s="228" t="s">
        <v>16</v>
      </c>
      <c r="J27" s="228" t="s">
        <v>343</v>
      </c>
      <c r="K27" s="230">
        <v>4</v>
      </c>
      <c r="L27" s="230">
        <v>3200</v>
      </c>
      <c r="M27" s="230">
        <v>1795</v>
      </c>
      <c r="N27" s="230">
        <v>1642</v>
      </c>
    </row>
    <row r="28" spans="1:14" x14ac:dyDescent="0.25">
      <c r="A28" s="111" t="s">
        <v>366</v>
      </c>
      <c r="B28" s="111" t="s">
        <v>119</v>
      </c>
      <c r="C28" s="228">
        <v>2025</v>
      </c>
      <c r="D28" s="228" t="s">
        <v>125</v>
      </c>
      <c r="E28" s="228" t="s">
        <v>126</v>
      </c>
      <c r="F28" s="228" t="s">
        <v>145</v>
      </c>
      <c r="G28" s="228" t="s">
        <v>9</v>
      </c>
      <c r="H28" s="228" t="s">
        <v>290</v>
      </c>
      <c r="I28" s="228" t="s">
        <v>13</v>
      </c>
      <c r="J28" s="228" t="s">
        <v>350</v>
      </c>
      <c r="K28" s="230">
        <v>2</v>
      </c>
      <c r="L28" s="230">
        <v>1004</v>
      </c>
      <c r="M28" s="230">
        <v>1004</v>
      </c>
      <c r="N28" s="230">
        <v>664</v>
      </c>
    </row>
    <row r="29" spans="1:14" x14ac:dyDescent="0.25">
      <c r="A29" s="111" t="s">
        <v>365</v>
      </c>
      <c r="B29" s="111" t="s">
        <v>52</v>
      </c>
      <c r="C29" s="228">
        <v>2025</v>
      </c>
      <c r="D29" s="228" t="s">
        <v>127</v>
      </c>
      <c r="E29" s="228" t="s">
        <v>128</v>
      </c>
      <c r="F29" s="228" t="s">
        <v>146</v>
      </c>
      <c r="G29" s="228" t="s">
        <v>9</v>
      </c>
      <c r="H29" s="228" t="s">
        <v>297</v>
      </c>
      <c r="I29" s="228" t="s">
        <v>14</v>
      </c>
      <c r="J29" s="228" t="s">
        <v>9</v>
      </c>
      <c r="K29" s="230">
        <v>1</v>
      </c>
      <c r="L29" s="230">
        <v>377</v>
      </c>
      <c r="M29" s="230">
        <v>100</v>
      </c>
      <c r="N29" s="230">
        <v>69</v>
      </c>
    </row>
    <row r="30" spans="1:14" x14ac:dyDescent="0.25">
      <c r="A30" s="111" t="s">
        <v>365</v>
      </c>
      <c r="B30" s="111" t="s">
        <v>54</v>
      </c>
      <c r="C30" s="228">
        <v>2025</v>
      </c>
      <c r="D30" s="228" t="s">
        <v>129</v>
      </c>
      <c r="E30" s="228" t="s">
        <v>130</v>
      </c>
      <c r="F30" s="228" t="s">
        <v>145</v>
      </c>
      <c r="G30" s="228" t="s">
        <v>35</v>
      </c>
      <c r="H30" s="228" t="s">
        <v>326</v>
      </c>
      <c r="I30" s="228" t="s">
        <v>37</v>
      </c>
      <c r="J30" s="331" t="s">
        <v>350</v>
      </c>
      <c r="K30" s="230">
        <v>6</v>
      </c>
      <c r="L30" s="230">
        <v>6000</v>
      </c>
      <c r="M30" s="230">
        <v>7403</v>
      </c>
      <c r="N30" s="230">
        <v>2094</v>
      </c>
    </row>
    <row r="31" spans="1:14" ht="15.75" x14ac:dyDescent="0.25">
      <c r="A31" s="111" t="s">
        <v>366</v>
      </c>
      <c r="B31" s="111" t="s">
        <v>53</v>
      </c>
      <c r="C31" s="228">
        <v>2025</v>
      </c>
      <c r="D31" s="228" t="s">
        <v>140</v>
      </c>
      <c r="E31" s="228" t="s">
        <v>131</v>
      </c>
      <c r="F31" s="228" t="s">
        <v>145</v>
      </c>
      <c r="G31" s="228" t="s">
        <v>20</v>
      </c>
      <c r="H31" s="228" t="s">
        <v>294</v>
      </c>
      <c r="I31" s="227" t="s">
        <v>314</v>
      </c>
      <c r="J31" s="332" t="s">
        <v>351</v>
      </c>
      <c r="K31" s="230">
        <v>140</v>
      </c>
      <c r="L31" s="230">
        <v>4040</v>
      </c>
      <c r="M31" s="230">
        <v>3479</v>
      </c>
      <c r="N31" s="230">
        <v>2737</v>
      </c>
    </row>
    <row r="32" spans="1:14" x14ac:dyDescent="0.25">
      <c r="A32" s="111" t="s">
        <v>366</v>
      </c>
      <c r="B32" s="111" t="s">
        <v>117</v>
      </c>
      <c r="C32" s="228">
        <v>2025</v>
      </c>
      <c r="D32" s="228" t="s">
        <v>125</v>
      </c>
      <c r="E32" s="228" t="s">
        <v>134</v>
      </c>
      <c r="F32" s="228" t="s">
        <v>146</v>
      </c>
      <c r="G32" s="228" t="s">
        <v>29</v>
      </c>
      <c r="H32" s="228" t="s">
        <v>288</v>
      </c>
      <c r="I32" s="228" t="s">
        <v>30</v>
      </c>
      <c r="J32" s="228" t="s">
        <v>29</v>
      </c>
      <c r="K32" s="230">
        <v>2</v>
      </c>
      <c r="L32" s="230">
        <v>45</v>
      </c>
      <c r="M32" s="230">
        <v>45</v>
      </c>
      <c r="N32" s="230">
        <v>45</v>
      </c>
    </row>
    <row r="33" spans="1:14" x14ac:dyDescent="0.25">
      <c r="A33" s="111" t="s">
        <v>365</v>
      </c>
      <c r="B33" s="111" t="s">
        <v>56</v>
      </c>
      <c r="C33" s="228">
        <v>2025</v>
      </c>
      <c r="D33" s="228" t="s">
        <v>135</v>
      </c>
      <c r="E33" s="228" t="s">
        <v>136</v>
      </c>
      <c r="F33" s="228" t="s">
        <v>145</v>
      </c>
      <c r="G33" s="228" t="s">
        <v>20</v>
      </c>
      <c r="H33" s="228" t="s">
        <v>300</v>
      </c>
      <c r="I33" s="228" t="s">
        <v>363</v>
      </c>
      <c r="J33" s="228" t="s">
        <v>350</v>
      </c>
      <c r="K33" s="230">
        <v>2</v>
      </c>
      <c r="L33" s="230">
        <v>193</v>
      </c>
      <c r="M33" s="230">
        <v>193</v>
      </c>
      <c r="N33" s="230">
        <v>193</v>
      </c>
    </row>
    <row r="34" spans="1:14" x14ac:dyDescent="0.25">
      <c r="A34" s="111" t="s">
        <v>366</v>
      </c>
      <c r="B34" s="111" t="s">
        <v>119</v>
      </c>
      <c r="C34" s="228">
        <v>2024</v>
      </c>
      <c r="D34" s="228" t="s">
        <v>125</v>
      </c>
      <c r="E34" s="228" t="s">
        <v>126</v>
      </c>
      <c r="F34" s="228" t="s">
        <v>145</v>
      </c>
      <c r="G34" s="228" t="s">
        <v>9</v>
      </c>
      <c r="H34" s="228" t="s">
        <v>290</v>
      </c>
      <c r="I34" s="228" t="s">
        <v>13</v>
      </c>
      <c r="J34" s="228" t="s">
        <v>350</v>
      </c>
      <c r="K34" s="230">
        <v>12</v>
      </c>
      <c r="L34" s="230">
        <v>1917</v>
      </c>
      <c r="M34" s="230">
        <v>1917</v>
      </c>
      <c r="N34" s="230">
        <v>1917</v>
      </c>
    </row>
    <row r="35" spans="1:14" x14ac:dyDescent="0.25">
      <c r="A35" s="111" t="s">
        <v>365</v>
      </c>
      <c r="B35" s="111" t="s">
        <v>52</v>
      </c>
      <c r="C35" s="228">
        <v>2024</v>
      </c>
      <c r="D35" s="228" t="s">
        <v>127</v>
      </c>
      <c r="E35" s="228" t="s">
        <v>128</v>
      </c>
      <c r="F35" s="228" t="s">
        <v>146</v>
      </c>
      <c r="G35" s="228" t="s">
        <v>9</v>
      </c>
      <c r="H35" s="228" t="s">
        <v>297</v>
      </c>
      <c r="I35" s="228" t="s">
        <v>14</v>
      </c>
      <c r="J35" s="228" t="s">
        <v>9</v>
      </c>
      <c r="K35" s="230">
        <v>2</v>
      </c>
      <c r="L35" s="230">
        <v>919</v>
      </c>
      <c r="M35" s="230">
        <v>243</v>
      </c>
      <c r="N35" s="230">
        <v>160</v>
      </c>
    </row>
    <row r="36" spans="1:14" x14ac:dyDescent="0.25">
      <c r="A36" s="111" t="s">
        <v>365</v>
      </c>
      <c r="B36" s="111" t="s">
        <v>54</v>
      </c>
      <c r="C36" s="228">
        <v>2024</v>
      </c>
      <c r="D36" s="228" t="s">
        <v>129</v>
      </c>
      <c r="E36" s="228" t="s">
        <v>130</v>
      </c>
      <c r="F36" s="228" t="s">
        <v>145</v>
      </c>
      <c r="G36" s="228" t="s">
        <v>35</v>
      </c>
      <c r="H36" s="228" t="s">
        <v>326</v>
      </c>
      <c r="I36" s="228" t="s">
        <v>37</v>
      </c>
      <c r="J36" s="228" t="s">
        <v>350</v>
      </c>
      <c r="K36" s="230">
        <v>6</v>
      </c>
      <c r="L36" s="230">
        <v>8000</v>
      </c>
      <c r="M36" s="230">
        <v>3840</v>
      </c>
      <c r="N36" s="230">
        <v>1692</v>
      </c>
    </row>
    <row r="37" spans="1:14" x14ac:dyDescent="0.25">
      <c r="A37" s="111" t="s">
        <v>365</v>
      </c>
      <c r="B37" s="111" t="s">
        <v>56</v>
      </c>
      <c r="C37" s="228">
        <v>2024</v>
      </c>
      <c r="D37" s="228" t="s">
        <v>135</v>
      </c>
      <c r="E37" s="228" t="s">
        <v>136</v>
      </c>
      <c r="F37" s="228" t="s">
        <v>145</v>
      </c>
      <c r="G37" s="228" t="s">
        <v>20</v>
      </c>
      <c r="H37" s="228" t="s">
        <v>300</v>
      </c>
      <c r="I37" s="228" t="s">
        <v>363</v>
      </c>
      <c r="J37" s="228" t="s">
        <v>350</v>
      </c>
      <c r="K37" s="230">
        <v>2</v>
      </c>
      <c r="L37" s="230">
        <v>528</v>
      </c>
      <c r="M37" s="230">
        <v>712</v>
      </c>
      <c r="N37" s="230">
        <v>409</v>
      </c>
    </row>
    <row r="38" spans="1:14" x14ac:dyDescent="0.25">
      <c r="A38" s="111" t="s">
        <v>366</v>
      </c>
      <c r="B38" s="111" t="s">
        <v>58</v>
      </c>
      <c r="C38" s="228">
        <v>2024</v>
      </c>
      <c r="D38" s="228" t="s">
        <v>137</v>
      </c>
      <c r="E38" s="228" t="s">
        <v>138</v>
      </c>
      <c r="F38" s="228" t="s">
        <v>146</v>
      </c>
      <c r="G38" s="228" t="s">
        <v>20</v>
      </c>
      <c r="H38" s="228" t="s">
        <v>300</v>
      </c>
      <c r="I38" s="228" t="s">
        <v>27</v>
      </c>
      <c r="J38" s="228" t="s">
        <v>352</v>
      </c>
      <c r="K38" s="230">
        <v>4</v>
      </c>
      <c r="L38" s="230">
        <v>400</v>
      </c>
      <c r="M38" s="230">
        <v>615</v>
      </c>
      <c r="N38" s="230">
        <v>146</v>
      </c>
    </row>
    <row r="39" spans="1:14" x14ac:dyDescent="0.25">
      <c r="A39" s="111" t="s">
        <v>366</v>
      </c>
      <c r="B39" s="111" t="s">
        <v>117</v>
      </c>
      <c r="C39" s="228">
        <v>2024</v>
      </c>
      <c r="D39" s="228" t="s">
        <v>125</v>
      </c>
      <c r="E39" s="228" t="s">
        <v>134</v>
      </c>
      <c r="F39" s="228" t="s">
        <v>146</v>
      </c>
      <c r="G39" s="228" t="s">
        <v>29</v>
      </c>
      <c r="H39" s="228" t="s">
        <v>288</v>
      </c>
      <c r="I39" s="228" t="s">
        <v>30</v>
      </c>
      <c r="J39" s="331" t="s">
        <v>29</v>
      </c>
      <c r="K39" s="230">
        <v>2</v>
      </c>
      <c r="L39" s="230">
        <v>450</v>
      </c>
      <c r="M39" s="230">
        <v>534</v>
      </c>
      <c r="N39" s="230">
        <v>572</v>
      </c>
    </row>
    <row r="40" spans="1:14" ht="15.75" x14ac:dyDescent="0.25">
      <c r="A40" s="111" t="s">
        <v>365</v>
      </c>
      <c r="B40" s="111" t="s">
        <v>53</v>
      </c>
      <c r="C40" s="228">
        <v>2024</v>
      </c>
      <c r="D40" s="228" t="s">
        <v>140</v>
      </c>
      <c r="E40" s="228" t="s">
        <v>131</v>
      </c>
      <c r="F40" s="228" t="s">
        <v>145</v>
      </c>
      <c r="G40" s="228" t="s">
        <v>20</v>
      </c>
      <c r="H40" s="228" t="s">
        <v>294</v>
      </c>
      <c r="I40" s="333" t="s">
        <v>314</v>
      </c>
      <c r="J40" s="332" t="s">
        <v>351</v>
      </c>
      <c r="K40" s="230">
        <v>39</v>
      </c>
      <c r="L40" s="230">
        <v>1560</v>
      </c>
      <c r="M40" s="230">
        <v>499</v>
      </c>
      <c r="N40" s="230">
        <v>372</v>
      </c>
    </row>
    <row r="41" spans="1:14" x14ac:dyDescent="0.25">
      <c r="A41" s="111" t="s">
        <v>366</v>
      </c>
      <c r="B41" s="111" t="s">
        <v>119</v>
      </c>
      <c r="C41" s="228">
        <v>2023</v>
      </c>
      <c r="D41" s="228" t="s">
        <v>125</v>
      </c>
      <c r="E41" s="228" t="s">
        <v>126</v>
      </c>
      <c r="F41" s="228" t="s">
        <v>145</v>
      </c>
      <c r="G41" s="228" t="s">
        <v>9</v>
      </c>
      <c r="H41" s="228" t="s">
        <v>290</v>
      </c>
      <c r="I41" s="228" t="s">
        <v>13</v>
      </c>
      <c r="J41" s="228" t="s">
        <v>350</v>
      </c>
      <c r="K41" s="230">
        <v>5</v>
      </c>
      <c r="L41" s="230">
        <v>1570</v>
      </c>
      <c r="M41" s="230">
        <v>2172</v>
      </c>
      <c r="N41" s="230">
        <v>642</v>
      </c>
    </row>
    <row r="42" spans="1:14" x14ac:dyDescent="0.25">
      <c r="A42" s="111" t="s">
        <v>366</v>
      </c>
      <c r="B42" s="111" t="s">
        <v>58</v>
      </c>
      <c r="C42" s="228">
        <v>2023</v>
      </c>
      <c r="D42" s="228" t="s">
        <v>137</v>
      </c>
      <c r="E42" s="228" t="s">
        <v>138</v>
      </c>
      <c r="F42" s="228" t="s">
        <v>146</v>
      </c>
      <c r="G42" s="228" t="s">
        <v>20</v>
      </c>
      <c r="H42" s="228" t="s">
        <v>300</v>
      </c>
      <c r="I42" s="228" t="s">
        <v>27</v>
      </c>
      <c r="J42" s="228" t="s">
        <v>352</v>
      </c>
      <c r="K42" s="230">
        <v>2</v>
      </c>
      <c r="L42" s="230">
        <v>400</v>
      </c>
      <c r="M42" s="230">
        <v>206</v>
      </c>
      <c r="N42" s="230">
        <v>136</v>
      </c>
    </row>
    <row r="43" spans="1:14" x14ac:dyDescent="0.25">
      <c r="A43" s="111" t="s">
        <v>365</v>
      </c>
      <c r="B43" s="111" t="s">
        <v>52</v>
      </c>
      <c r="C43" s="228">
        <v>2023</v>
      </c>
      <c r="D43" s="228" t="s">
        <v>127</v>
      </c>
      <c r="E43" s="228" t="s">
        <v>128</v>
      </c>
      <c r="F43" s="228" t="s">
        <v>146</v>
      </c>
      <c r="G43" s="228" t="s">
        <v>9</v>
      </c>
      <c r="H43" s="228" t="s">
        <v>297</v>
      </c>
      <c r="I43" s="228" t="s">
        <v>14</v>
      </c>
      <c r="J43" s="228" t="s">
        <v>9</v>
      </c>
      <c r="K43" s="230">
        <v>2</v>
      </c>
      <c r="L43" s="230">
        <v>728</v>
      </c>
      <c r="M43" s="230">
        <v>191</v>
      </c>
      <c r="N43" s="230">
        <v>119</v>
      </c>
    </row>
    <row r="44" spans="1:14" x14ac:dyDescent="0.25">
      <c r="A44" s="111" t="s">
        <v>365</v>
      </c>
      <c r="B44" s="111" t="s">
        <v>56</v>
      </c>
      <c r="C44" s="228">
        <v>2023</v>
      </c>
      <c r="D44" s="228" t="s">
        <v>135</v>
      </c>
      <c r="E44" s="228" t="s">
        <v>136</v>
      </c>
      <c r="F44" s="228" t="s">
        <v>145</v>
      </c>
      <c r="G44" s="228" t="s">
        <v>20</v>
      </c>
      <c r="H44" s="228" t="s">
        <v>300</v>
      </c>
      <c r="I44" s="228" t="s">
        <v>363</v>
      </c>
      <c r="J44" s="228" t="s">
        <v>350</v>
      </c>
      <c r="K44" s="230">
        <v>2</v>
      </c>
      <c r="L44" s="230">
        <v>1102</v>
      </c>
      <c r="M44" s="230">
        <v>1102</v>
      </c>
      <c r="N44" s="230">
        <v>769</v>
      </c>
    </row>
    <row r="45" spans="1:14" x14ac:dyDescent="0.25">
      <c r="A45" s="111" t="s">
        <v>366</v>
      </c>
      <c r="B45" s="111" t="s">
        <v>117</v>
      </c>
      <c r="C45" s="228">
        <v>2023</v>
      </c>
      <c r="D45" s="228" t="s">
        <v>125</v>
      </c>
      <c r="E45" s="228" t="s">
        <v>134</v>
      </c>
      <c r="F45" s="228" t="s">
        <v>146</v>
      </c>
      <c r="G45" s="228" t="s">
        <v>29</v>
      </c>
      <c r="H45" s="228" t="s">
        <v>288</v>
      </c>
      <c r="I45" s="228" t="s">
        <v>30</v>
      </c>
      <c r="J45" s="228" t="s">
        <v>29</v>
      </c>
      <c r="K45" s="230">
        <v>2</v>
      </c>
      <c r="L45" s="230">
        <v>380</v>
      </c>
      <c r="M45" s="230">
        <v>378</v>
      </c>
      <c r="N45" s="230">
        <v>228</v>
      </c>
    </row>
    <row r="46" spans="1:14" x14ac:dyDescent="0.25">
      <c r="A46" s="111" t="s">
        <v>365</v>
      </c>
      <c r="B46" s="111" t="s">
        <v>89</v>
      </c>
      <c r="C46" s="228">
        <v>2023</v>
      </c>
      <c r="D46" s="228" t="s">
        <v>267</v>
      </c>
      <c r="E46" s="228" t="s">
        <v>268</v>
      </c>
      <c r="F46" s="228"/>
      <c r="G46" s="228" t="s">
        <v>9</v>
      </c>
      <c r="H46" s="228" t="s">
        <v>292</v>
      </c>
      <c r="I46" s="228" t="s">
        <v>308</v>
      </c>
      <c r="J46" s="228" t="s">
        <v>350</v>
      </c>
      <c r="K46" s="230">
        <v>1</v>
      </c>
      <c r="L46" s="230">
        <v>80</v>
      </c>
      <c r="M46" s="230">
        <v>80</v>
      </c>
      <c r="N46" s="230">
        <v>33</v>
      </c>
    </row>
    <row r="47" spans="1:14" x14ac:dyDescent="0.25">
      <c r="A47" s="111" t="s">
        <v>365</v>
      </c>
      <c r="B47" s="111" t="s">
        <v>54</v>
      </c>
      <c r="C47" s="228">
        <v>2023</v>
      </c>
      <c r="D47" s="228" t="s">
        <v>129</v>
      </c>
      <c r="E47" s="228" t="s">
        <v>130</v>
      </c>
      <c r="F47" s="228" t="s">
        <v>145</v>
      </c>
      <c r="G47" s="228" t="s">
        <v>35</v>
      </c>
      <c r="H47" s="228" t="s">
        <v>326</v>
      </c>
      <c r="I47" s="228" t="s">
        <v>37</v>
      </c>
      <c r="J47" s="228" t="s">
        <v>350</v>
      </c>
      <c r="K47" s="230">
        <v>6</v>
      </c>
      <c r="L47" s="230">
        <v>402</v>
      </c>
      <c r="M47" s="230">
        <v>402</v>
      </c>
      <c r="N47" s="230">
        <v>402</v>
      </c>
    </row>
    <row r="48" spans="1:14" x14ac:dyDescent="0.25">
      <c r="A48" s="111" t="s">
        <v>275</v>
      </c>
      <c r="B48" s="111" t="s">
        <v>162</v>
      </c>
      <c r="C48" s="228">
        <v>2026</v>
      </c>
      <c r="D48" s="228" t="s">
        <v>173</v>
      </c>
      <c r="E48" s="228" t="s">
        <v>186</v>
      </c>
      <c r="F48" s="228" t="s">
        <v>175</v>
      </c>
      <c r="G48" s="228" t="s">
        <v>9</v>
      </c>
      <c r="H48" s="228" t="s">
        <v>287</v>
      </c>
      <c r="I48" s="228" t="s">
        <v>303</v>
      </c>
      <c r="J48" s="228" t="s">
        <v>360</v>
      </c>
      <c r="K48" s="230">
        <v>3</v>
      </c>
      <c r="L48" s="230">
        <v>560</v>
      </c>
      <c r="M48" s="230"/>
      <c r="N48" s="230"/>
    </row>
    <row r="49" spans="1:14" x14ac:dyDescent="0.25">
      <c r="A49" s="111" t="s">
        <v>275</v>
      </c>
      <c r="B49" s="111" t="s">
        <v>162</v>
      </c>
      <c r="C49" s="228">
        <v>2027</v>
      </c>
      <c r="D49" s="228" t="s">
        <v>173</v>
      </c>
      <c r="E49" s="228" t="s">
        <v>186</v>
      </c>
      <c r="F49" s="228" t="s">
        <v>175</v>
      </c>
      <c r="G49" s="228" t="s">
        <v>9</v>
      </c>
      <c r="H49" s="228" t="s">
        <v>287</v>
      </c>
      <c r="I49" s="228" t="s">
        <v>303</v>
      </c>
      <c r="J49" s="228" t="s">
        <v>360</v>
      </c>
      <c r="K49" s="230">
        <v>3</v>
      </c>
      <c r="L49" s="230">
        <v>1780</v>
      </c>
      <c r="M49" s="230"/>
      <c r="N49" s="230"/>
    </row>
    <row r="50" spans="1:14" x14ac:dyDescent="0.25">
      <c r="A50" s="111" t="s">
        <v>275</v>
      </c>
      <c r="B50" s="111" t="s">
        <v>162</v>
      </c>
      <c r="C50" s="228">
        <v>2026</v>
      </c>
      <c r="D50" s="228" t="s">
        <v>189</v>
      </c>
      <c r="E50" s="228" t="s">
        <v>190</v>
      </c>
      <c r="F50" s="228" t="s">
        <v>175</v>
      </c>
      <c r="G50" s="228" t="s">
        <v>9</v>
      </c>
      <c r="H50" s="228" t="s">
        <v>287</v>
      </c>
      <c r="I50" s="228" t="s">
        <v>303</v>
      </c>
      <c r="J50" s="228" t="s">
        <v>360</v>
      </c>
      <c r="K50" s="230">
        <v>2</v>
      </c>
      <c r="L50" s="230">
        <v>1640</v>
      </c>
      <c r="M50" s="230"/>
      <c r="N50" s="230"/>
    </row>
    <row r="51" spans="1:14" x14ac:dyDescent="0.25">
      <c r="A51" s="111" t="s">
        <v>275</v>
      </c>
      <c r="B51" s="111" t="s">
        <v>378</v>
      </c>
      <c r="C51" s="228">
        <v>2026</v>
      </c>
      <c r="D51" s="228" t="s">
        <v>377</v>
      </c>
      <c r="E51" s="228" t="s">
        <v>379</v>
      </c>
      <c r="F51" s="228" t="s">
        <v>175</v>
      </c>
      <c r="G51" s="228" t="s">
        <v>9</v>
      </c>
      <c r="H51" s="228" t="s">
        <v>293</v>
      </c>
      <c r="I51" s="228" t="s">
        <v>380</v>
      </c>
      <c r="J51" s="228" t="s">
        <v>18</v>
      </c>
      <c r="K51" s="230">
        <v>12</v>
      </c>
      <c r="L51" s="230">
        <v>1080</v>
      </c>
      <c r="M51" s="230"/>
      <c r="N51" s="230"/>
    </row>
    <row r="52" spans="1:14" x14ac:dyDescent="0.25">
      <c r="A52" s="111" t="s">
        <v>275</v>
      </c>
      <c r="B52" s="111" t="s">
        <v>55</v>
      </c>
      <c r="C52" s="228">
        <v>2025</v>
      </c>
      <c r="D52" s="228" t="s">
        <v>132</v>
      </c>
      <c r="E52" s="228" t="s">
        <v>150</v>
      </c>
      <c r="F52" s="228"/>
      <c r="G52" s="228" t="s">
        <v>20</v>
      </c>
      <c r="H52" s="228" t="s">
        <v>294</v>
      </c>
      <c r="I52" s="228" t="s">
        <v>314</v>
      </c>
      <c r="J52" s="228" t="s">
        <v>350</v>
      </c>
      <c r="K52" s="230">
        <v>49</v>
      </c>
      <c r="L52" s="230">
        <v>3731</v>
      </c>
      <c r="M52" s="230">
        <v>1371</v>
      </c>
      <c r="N52" s="230">
        <v>1122</v>
      </c>
    </row>
    <row r="53" spans="1:14" x14ac:dyDescent="0.25">
      <c r="A53" s="111" t="s">
        <v>275</v>
      </c>
      <c r="B53" s="111" t="s">
        <v>59</v>
      </c>
      <c r="C53" s="228">
        <v>2024</v>
      </c>
      <c r="D53" s="228" t="s">
        <v>132</v>
      </c>
      <c r="E53" s="228" t="s">
        <v>150</v>
      </c>
      <c r="F53" s="228"/>
      <c r="G53" s="228" t="s">
        <v>20</v>
      </c>
      <c r="H53" s="228" t="s">
        <v>294</v>
      </c>
      <c r="I53" s="228" t="s">
        <v>314</v>
      </c>
      <c r="J53" s="228" t="s">
        <v>350</v>
      </c>
      <c r="K53" s="230">
        <v>47</v>
      </c>
      <c r="L53" s="230">
        <v>804</v>
      </c>
      <c r="M53" s="230">
        <v>307</v>
      </c>
      <c r="N53" s="230">
        <v>179</v>
      </c>
    </row>
    <row r="54" spans="1:14" x14ac:dyDescent="0.25">
      <c r="A54" s="111" t="s">
        <v>275</v>
      </c>
      <c r="B54" s="111" t="s">
        <v>73</v>
      </c>
      <c r="C54" s="228">
        <v>2024</v>
      </c>
      <c r="D54" s="228" t="s">
        <v>132</v>
      </c>
      <c r="E54" s="228" t="s">
        <v>133</v>
      </c>
      <c r="F54" s="228"/>
      <c r="G54" s="228" t="s">
        <v>35</v>
      </c>
      <c r="H54" s="228" t="s">
        <v>301</v>
      </c>
      <c r="I54" s="228" t="s">
        <v>328</v>
      </c>
      <c r="J54" s="228" t="s">
        <v>354</v>
      </c>
      <c r="K54" s="230">
        <v>5</v>
      </c>
      <c r="L54" s="230">
        <v>1570</v>
      </c>
      <c r="M54" s="230">
        <v>771</v>
      </c>
      <c r="N54" s="230">
        <v>391</v>
      </c>
    </row>
    <row r="55" spans="1:14" x14ac:dyDescent="0.25">
      <c r="A55" s="111" t="s">
        <v>275</v>
      </c>
      <c r="B55" s="111" t="s">
        <v>57</v>
      </c>
      <c r="C55" s="228">
        <v>2023</v>
      </c>
      <c r="D55" s="228" t="s">
        <v>132</v>
      </c>
      <c r="E55" s="228" t="s">
        <v>133</v>
      </c>
      <c r="F55" s="228"/>
      <c r="G55" s="228" t="s">
        <v>35</v>
      </c>
      <c r="H55" s="228" t="s">
        <v>301</v>
      </c>
      <c r="I55" s="228" t="s">
        <v>328</v>
      </c>
      <c r="J55" s="228" t="s">
        <v>353</v>
      </c>
      <c r="K55" s="230">
        <v>5</v>
      </c>
      <c r="L55" s="230">
        <v>4672</v>
      </c>
      <c r="M55" s="230">
        <v>1965</v>
      </c>
      <c r="N55" s="230">
        <v>939</v>
      </c>
    </row>
    <row r="56" spans="1:14" x14ac:dyDescent="0.25">
      <c r="A56" s="111" t="s">
        <v>275</v>
      </c>
      <c r="B56" s="111" t="s">
        <v>85</v>
      </c>
      <c r="C56" s="228">
        <v>2023</v>
      </c>
      <c r="D56" s="228" t="s">
        <v>143</v>
      </c>
      <c r="E56" s="228" t="s">
        <v>144</v>
      </c>
      <c r="F56" s="228"/>
      <c r="G56" s="228" t="s">
        <v>35</v>
      </c>
      <c r="H56" s="228" t="s">
        <v>302</v>
      </c>
      <c r="I56" s="228" t="s">
        <v>329</v>
      </c>
      <c r="J56" s="228" t="s">
        <v>355</v>
      </c>
      <c r="K56" s="230">
        <v>4</v>
      </c>
      <c r="L56" s="230">
        <v>2261</v>
      </c>
      <c r="M56" s="230">
        <v>1622</v>
      </c>
      <c r="N56" s="230">
        <v>454</v>
      </c>
    </row>
    <row r="57" spans="1:14" x14ac:dyDescent="0.25">
      <c r="A57" s="111" t="s">
        <v>275</v>
      </c>
      <c r="B57" s="111" t="s">
        <v>76</v>
      </c>
      <c r="C57" s="228">
        <v>2023</v>
      </c>
      <c r="D57" s="321" t="s">
        <v>283</v>
      </c>
      <c r="E57" s="321" t="s">
        <v>283</v>
      </c>
      <c r="F57" s="228"/>
      <c r="G57" s="228" t="s">
        <v>20</v>
      </c>
      <c r="H57" s="228" t="s">
        <v>294</v>
      </c>
      <c r="I57" s="228" t="s">
        <v>24</v>
      </c>
      <c r="J57" s="228" t="s">
        <v>24</v>
      </c>
      <c r="K57" s="230">
        <v>4</v>
      </c>
      <c r="L57" s="230">
        <v>100</v>
      </c>
      <c r="M57" s="230">
        <v>70</v>
      </c>
      <c r="N57" s="230">
        <v>55</v>
      </c>
    </row>
    <row r="58" spans="1:14" x14ac:dyDescent="0.25">
      <c r="A58" s="111" t="s">
        <v>368</v>
      </c>
      <c r="B58" s="111" t="s">
        <v>152</v>
      </c>
      <c r="C58" s="228">
        <v>2026</v>
      </c>
      <c r="D58" s="228" t="s">
        <v>163</v>
      </c>
      <c r="E58" s="228" t="s">
        <v>174</v>
      </c>
      <c r="F58" s="228" t="s">
        <v>175</v>
      </c>
      <c r="G58" s="228" t="s">
        <v>9</v>
      </c>
      <c r="H58" s="228" t="s">
        <v>287</v>
      </c>
      <c r="I58" s="228" t="s">
        <v>303</v>
      </c>
      <c r="J58" s="228" t="s">
        <v>344</v>
      </c>
      <c r="K58" s="230">
        <v>4</v>
      </c>
      <c r="L58" s="230">
        <v>400</v>
      </c>
      <c r="M58" s="230"/>
      <c r="N58" s="230"/>
    </row>
    <row r="59" spans="1:14" x14ac:dyDescent="0.25">
      <c r="A59" s="111" t="s">
        <v>368</v>
      </c>
      <c r="B59" s="111" t="s">
        <v>153</v>
      </c>
      <c r="C59" s="228">
        <v>2026</v>
      </c>
      <c r="D59" s="228" t="s">
        <v>164</v>
      </c>
      <c r="E59" s="228" t="s">
        <v>176</v>
      </c>
      <c r="F59" s="228" t="s">
        <v>177</v>
      </c>
      <c r="G59" s="228" t="s">
        <v>29</v>
      </c>
      <c r="H59" s="228" t="s">
        <v>288</v>
      </c>
      <c r="I59" s="228" t="s">
        <v>32</v>
      </c>
      <c r="J59" s="228" t="s">
        <v>345</v>
      </c>
      <c r="K59" s="230">
        <v>1</v>
      </c>
      <c r="L59" s="230">
        <v>600</v>
      </c>
      <c r="M59" s="230"/>
      <c r="N59" s="230"/>
    </row>
    <row r="60" spans="1:14" x14ac:dyDescent="0.25">
      <c r="A60" s="111" t="s">
        <v>368</v>
      </c>
      <c r="B60" s="111" t="s">
        <v>155</v>
      </c>
      <c r="C60" s="228">
        <v>2026</v>
      </c>
      <c r="D60" s="228" t="s">
        <v>166</v>
      </c>
      <c r="E60" s="228" t="s">
        <v>179</v>
      </c>
      <c r="F60" s="228" t="s">
        <v>177</v>
      </c>
      <c r="G60" s="228" t="s">
        <v>29</v>
      </c>
      <c r="H60" s="228" t="s">
        <v>288</v>
      </c>
      <c r="I60" s="228" t="s">
        <v>32</v>
      </c>
      <c r="J60" s="228" t="s">
        <v>346</v>
      </c>
      <c r="K60" s="230">
        <v>1</v>
      </c>
      <c r="L60" s="230">
        <v>4000</v>
      </c>
      <c r="M60" s="230"/>
      <c r="N60" s="230"/>
    </row>
    <row r="61" spans="1:14" x14ac:dyDescent="0.25">
      <c r="A61" s="111" t="s">
        <v>368</v>
      </c>
      <c r="B61" s="111" t="s">
        <v>155</v>
      </c>
      <c r="C61" s="228">
        <v>2027</v>
      </c>
      <c r="D61" s="228" t="s">
        <v>166</v>
      </c>
      <c r="E61" s="228" t="s">
        <v>179</v>
      </c>
      <c r="F61" s="228" t="s">
        <v>177</v>
      </c>
      <c r="G61" s="228" t="s">
        <v>29</v>
      </c>
      <c r="H61" s="228" t="s">
        <v>288</v>
      </c>
      <c r="I61" s="228" t="s">
        <v>32</v>
      </c>
      <c r="J61" s="228" t="s">
        <v>346</v>
      </c>
      <c r="K61" s="230">
        <v>1</v>
      </c>
      <c r="L61" s="230">
        <v>800</v>
      </c>
      <c r="M61" s="230"/>
      <c r="N61" s="230"/>
    </row>
    <row r="62" spans="1:14" x14ac:dyDescent="0.25">
      <c r="A62" s="111" t="s">
        <v>368</v>
      </c>
      <c r="B62" s="111" t="s">
        <v>158</v>
      </c>
      <c r="C62" s="228">
        <v>2026</v>
      </c>
      <c r="D62" s="228" t="s">
        <v>169</v>
      </c>
      <c r="E62" s="228" t="s">
        <v>182</v>
      </c>
      <c r="F62" s="228" t="s">
        <v>177</v>
      </c>
      <c r="G62" s="228" t="s">
        <v>9</v>
      </c>
      <c r="H62" s="228" t="s">
        <v>292</v>
      </c>
      <c r="I62" s="228" t="s">
        <v>308</v>
      </c>
      <c r="J62" s="228" t="s">
        <v>308</v>
      </c>
      <c r="K62" s="230">
        <v>1</v>
      </c>
      <c r="L62" s="230">
        <v>300</v>
      </c>
      <c r="M62" s="230"/>
      <c r="N62" s="230"/>
    </row>
    <row r="63" spans="1:14" x14ac:dyDescent="0.25">
      <c r="A63" s="111" t="s">
        <v>368</v>
      </c>
      <c r="B63" s="111" t="s">
        <v>159</v>
      </c>
      <c r="C63" s="228">
        <v>2026</v>
      </c>
      <c r="D63" s="228" t="s">
        <v>170</v>
      </c>
      <c r="E63" s="228" t="s">
        <v>183</v>
      </c>
      <c r="F63" s="228" t="s">
        <v>177</v>
      </c>
      <c r="G63" s="228" t="s">
        <v>9</v>
      </c>
      <c r="H63" s="228" t="s">
        <v>290</v>
      </c>
      <c r="I63" s="228" t="s">
        <v>309</v>
      </c>
      <c r="J63" s="228" t="s">
        <v>347</v>
      </c>
      <c r="K63" s="230">
        <v>11</v>
      </c>
      <c r="L63" s="230">
        <v>440</v>
      </c>
      <c r="M63" s="230"/>
      <c r="N63" s="230"/>
    </row>
    <row r="64" spans="1:14" x14ac:dyDescent="0.25">
      <c r="A64" s="111" t="s">
        <v>368</v>
      </c>
      <c r="B64" s="111" t="s">
        <v>160</v>
      </c>
      <c r="C64" s="228">
        <v>2026</v>
      </c>
      <c r="D64" s="228" t="s">
        <v>171</v>
      </c>
      <c r="E64" s="228" t="s">
        <v>184</v>
      </c>
      <c r="F64" s="228" t="s">
        <v>177</v>
      </c>
      <c r="G64" s="228" t="s">
        <v>9</v>
      </c>
      <c r="H64" s="228" t="s">
        <v>290</v>
      </c>
      <c r="I64" s="228" t="s">
        <v>310</v>
      </c>
      <c r="J64" s="228" t="s">
        <v>348</v>
      </c>
      <c r="K64" s="230">
        <v>6</v>
      </c>
      <c r="L64" s="230">
        <v>180</v>
      </c>
      <c r="M64" s="230"/>
      <c r="N64" s="230"/>
    </row>
    <row r="65" spans="1:14" x14ac:dyDescent="0.25">
      <c r="A65" s="111" t="s">
        <v>368</v>
      </c>
      <c r="B65" s="111" t="s">
        <v>161</v>
      </c>
      <c r="C65" s="228">
        <v>2026</v>
      </c>
      <c r="D65" s="228" t="s">
        <v>172</v>
      </c>
      <c r="E65" s="228" t="s">
        <v>185</v>
      </c>
      <c r="F65" s="228" t="s">
        <v>177</v>
      </c>
      <c r="G65" s="228" t="s">
        <v>29</v>
      </c>
      <c r="H65" s="228" t="s">
        <v>288</v>
      </c>
      <c r="I65" s="228" t="s">
        <v>32</v>
      </c>
      <c r="J65" s="228" t="s">
        <v>349</v>
      </c>
      <c r="K65" s="230">
        <v>6</v>
      </c>
      <c r="L65" s="230">
        <v>840</v>
      </c>
      <c r="M65" s="230"/>
      <c r="N65" s="230"/>
    </row>
    <row r="66" spans="1:14" x14ac:dyDescent="0.25">
      <c r="A66" s="111" t="s">
        <v>367</v>
      </c>
      <c r="B66" s="111" t="s">
        <v>215</v>
      </c>
      <c r="C66" s="228">
        <v>2026</v>
      </c>
      <c r="D66" s="228" t="s">
        <v>216</v>
      </c>
      <c r="E66" s="228" t="s">
        <v>217</v>
      </c>
      <c r="F66" s="228" t="s">
        <v>177</v>
      </c>
      <c r="G66" s="228" t="s">
        <v>9</v>
      </c>
      <c r="H66" s="228" t="s">
        <v>291</v>
      </c>
      <c r="I66" s="228" t="s">
        <v>305</v>
      </c>
      <c r="J66" s="228" t="s">
        <v>305</v>
      </c>
      <c r="K66" s="230">
        <v>47</v>
      </c>
      <c r="L66" s="230">
        <v>7380</v>
      </c>
      <c r="M66" s="230"/>
      <c r="N66" s="230"/>
    </row>
    <row r="67" spans="1:14" x14ac:dyDescent="0.25">
      <c r="A67" s="111" t="s">
        <v>368</v>
      </c>
      <c r="B67" s="111" t="s">
        <v>253</v>
      </c>
      <c r="C67" s="228">
        <v>2026</v>
      </c>
      <c r="D67" s="228" t="s">
        <v>254</v>
      </c>
      <c r="E67" s="228" t="s">
        <v>255</v>
      </c>
      <c r="F67" s="228" t="s">
        <v>177</v>
      </c>
      <c r="G67" s="228" t="s">
        <v>364</v>
      </c>
      <c r="H67" s="228" t="s">
        <v>299</v>
      </c>
      <c r="I67" s="228" t="s">
        <v>325</v>
      </c>
      <c r="J67" s="228" t="s">
        <v>325</v>
      </c>
      <c r="K67" s="230">
        <v>20</v>
      </c>
      <c r="L67" s="230">
        <v>3000</v>
      </c>
      <c r="M67" s="230"/>
      <c r="N67" s="230"/>
    </row>
    <row r="68" spans="1:14" x14ac:dyDescent="0.25">
      <c r="A68" s="111" t="s">
        <v>368</v>
      </c>
      <c r="B68" s="111" t="s">
        <v>270</v>
      </c>
      <c r="C68" s="228">
        <v>2023</v>
      </c>
      <c r="D68" s="228" t="s">
        <v>269</v>
      </c>
      <c r="E68" s="228" t="s">
        <v>271</v>
      </c>
      <c r="F68" s="228"/>
      <c r="G68" s="228" t="s">
        <v>29</v>
      </c>
      <c r="H68" s="228" t="s">
        <v>331</v>
      </c>
      <c r="I68" s="228" t="s">
        <v>330</v>
      </c>
      <c r="J68" s="228" t="s">
        <v>350</v>
      </c>
      <c r="K68" s="230">
        <v>1</v>
      </c>
      <c r="L68" s="230">
        <v>100</v>
      </c>
      <c r="M68" s="230">
        <v>14</v>
      </c>
      <c r="N68" s="230">
        <v>14</v>
      </c>
    </row>
    <row r="69" spans="1:14" x14ac:dyDescent="0.25">
      <c r="A69" s="111" t="s">
        <v>368</v>
      </c>
      <c r="B69" s="111" t="s">
        <v>372</v>
      </c>
      <c r="C69" s="228">
        <v>2023</v>
      </c>
      <c r="D69" s="228" t="s">
        <v>373</v>
      </c>
      <c r="E69" t="s">
        <v>374</v>
      </c>
      <c r="F69" s="228"/>
      <c r="G69" s="228" t="s">
        <v>29</v>
      </c>
      <c r="H69" s="228" t="s">
        <v>375</v>
      </c>
      <c r="I69" s="228" t="s">
        <v>33</v>
      </c>
      <c r="J69" s="228" t="s">
        <v>350</v>
      </c>
      <c r="K69" s="230">
        <v>2</v>
      </c>
      <c r="L69" s="230">
        <v>94</v>
      </c>
      <c r="M69" s="230">
        <v>94</v>
      </c>
      <c r="N69" s="230">
        <v>94</v>
      </c>
    </row>
    <row r="70" spans="1:14" x14ac:dyDescent="0.25">
      <c r="A70" s="111" t="s">
        <v>366</v>
      </c>
      <c r="B70" s="111" t="s">
        <v>117</v>
      </c>
      <c r="C70" s="228">
        <v>2023</v>
      </c>
      <c r="D70" s="228" t="s">
        <v>370</v>
      </c>
      <c r="E70" s="228" t="s">
        <v>371</v>
      </c>
      <c r="F70" s="228" t="s">
        <v>146</v>
      </c>
      <c r="G70" s="228" t="s">
        <v>29</v>
      </c>
      <c r="H70" s="228" t="s">
        <v>288</v>
      </c>
      <c r="I70" s="228" t="s">
        <v>30</v>
      </c>
      <c r="J70" s="228" t="s">
        <v>29</v>
      </c>
      <c r="K70" s="230">
        <v>1</v>
      </c>
      <c r="L70" s="230">
        <v>101</v>
      </c>
      <c r="M70" s="230">
        <v>101</v>
      </c>
      <c r="N70" s="230">
        <v>101</v>
      </c>
    </row>
  </sheetData>
  <autoFilter ref="A1:N70" xr:uid="{D0C98A8B-45F0-4C42-A9DA-439C8866EE0E}"/>
  <pageMargins left="0.511811024" right="0.511811024" top="0.78740157499999996" bottom="0.78740157499999996" header="0.31496062000000002" footer="0.31496062000000002"/>
  <pageSetup scale="2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7B66-0238-4B1B-8236-2A89345778B3}">
  <sheetPr>
    <pageSetUpPr fitToPage="1"/>
  </sheetPr>
  <dimension ref="A1:L61"/>
  <sheetViews>
    <sheetView workbookViewId="0">
      <pane ySplit="1" topLeftCell="A20" activePane="bottomLeft" state="frozen"/>
      <selection pane="bottomLeft" activeCell="E62" sqref="E62"/>
    </sheetView>
  </sheetViews>
  <sheetFormatPr defaultRowHeight="15" x14ac:dyDescent="0.25"/>
  <cols>
    <col min="1" max="1" width="100.42578125" bestFit="1" customWidth="1"/>
    <col min="2" max="2" width="34" bestFit="1" customWidth="1"/>
    <col min="3" max="3" width="22.140625" bestFit="1" customWidth="1"/>
    <col min="4" max="4" width="19.140625" bestFit="1" customWidth="1"/>
    <col min="5" max="5" width="5.7109375" bestFit="1" customWidth="1"/>
    <col min="6" max="6" width="26.28515625" bestFit="1" customWidth="1"/>
    <col min="7" max="7" width="167.5703125" style="67" bestFit="1" customWidth="1"/>
    <col min="8" max="8" width="7.140625" bestFit="1" customWidth="1"/>
    <col min="9" max="9" width="10.140625" bestFit="1" customWidth="1"/>
    <col min="10" max="10" width="8.85546875" bestFit="1" customWidth="1"/>
    <col min="11" max="11" width="15.42578125" bestFit="1" customWidth="1"/>
    <col min="12" max="12" width="15" bestFit="1" customWidth="1"/>
  </cols>
  <sheetData>
    <row r="1" spans="1:12" x14ac:dyDescent="0.25">
      <c r="A1" s="323" t="s">
        <v>278</v>
      </c>
      <c r="B1" s="323" t="s">
        <v>121</v>
      </c>
      <c r="C1" s="323" t="s">
        <v>122</v>
      </c>
      <c r="D1" s="323" t="s">
        <v>120</v>
      </c>
      <c r="E1" s="323" t="s">
        <v>285</v>
      </c>
      <c r="F1" s="323" t="s">
        <v>286</v>
      </c>
      <c r="G1" s="329" t="s">
        <v>361</v>
      </c>
      <c r="H1" s="324" t="s">
        <v>279</v>
      </c>
      <c r="I1" s="324" t="s">
        <v>280</v>
      </c>
      <c r="J1" s="324" t="s">
        <v>48</v>
      </c>
      <c r="K1" s="324" t="s">
        <v>281</v>
      </c>
      <c r="L1" s="324" t="s">
        <v>282</v>
      </c>
    </row>
    <row r="2" spans="1:12" x14ac:dyDescent="0.25">
      <c r="A2" s="325" t="s">
        <v>367</v>
      </c>
      <c r="B2" s="324"/>
      <c r="C2" s="324"/>
      <c r="D2" s="324"/>
      <c r="E2" s="324"/>
      <c r="F2" s="324"/>
      <c r="G2" s="324"/>
      <c r="H2" s="340">
        <v>2027</v>
      </c>
      <c r="I2" s="328">
        <v>151</v>
      </c>
      <c r="J2" s="328">
        <v>17565</v>
      </c>
      <c r="K2" s="328">
        <v>646</v>
      </c>
      <c r="L2" s="328">
        <v>311</v>
      </c>
    </row>
    <row r="3" spans="1:12" x14ac:dyDescent="0.25">
      <c r="A3" s="325" t="s">
        <v>154</v>
      </c>
      <c r="B3" s="325" t="s">
        <v>165</v>
      </c>
      <c r="C3" s="325" t="s">
        <v>178</v>
      </c>
      <c r="D3" s="325" t="s">
        <v>177</v>
      </c>
      <c r="E3" s="325" t="s">
        <v>289</v>
      </c>
      <c r="F3" s="325" t="s">
        <v>304</v>
      </c>
      <c r="G3" s="325" t="s">
        <v>362</v>
      </c>
      <c r="H3" s="340">
        <v>2027</v>
      </c>
      <c r="I3" s="328">
        <v>6</v>
      </c>
      <c r="J3" s="328">
        <v>400</v>
      </c>
      <c r="K3" s="328"/>
      <c r="L3" s="328"/>
    </row>
    <row r="4" spans="1:12" x14ac:dyDescent="0.25">
      <c r="A4" s="325" t="s">
        <v>247</v>
      </c>
      <c r="B4" s="325" t="s">
        <v>248</v>
      </c>
      <c r="C4" s="325" t="s">
        <v>249</v>
      </c>
      <c r="D4" s="325" t="s">
        <v>177</v>
      </c>
      <c r="E4" s="325" t="s">
        <v>298</v>
      </c>
      <c r="F4" s="325" t="s">
        <v>324</v>
      </c>
      <c r="G4" s="325" t="s">
        <v>341</v>
      </c>
      <c r="H4" s="340">
        <v>2027</v>
      </c>
      <c r="I4" s="328">
        <v>4</v>
      </c>
      <c r="J4" s="328">
        <v>325</v>
      </c>
      <c r="K4" s="328"/>
      <c r="L4" s="328"/>
    </row>
    <row r="5" spans="1:12" x14ac:dyDescent="0.25">
      <c r="A5" s="325" t="s">
        <v>215</v>
      </c>
      <c r="B5" s="325" t="s">
        <v>216</v>
      </c>
      <c r="C5" s="325" t="s">
        <v>217</v>
      </c>
      <c r="D5" s="325" t="s">
        <v>177</v>
      </c>
      <c r="E5" s="325" t="s">
        <v>291</v>
      </c>
      <c r="F5" s="325" t="s">
        <v>305</v>
      </c>
      <c r="G5" s="325" t="s">
        <v>305</v>
      </c>
      <c r="H5" s="340">
        <v>2026</v>
      </c>
      <c r="I5" s="328">
        <v>47</v>
      </c>
      <c r="J5" s="328">
        <v>7380</v>
      </c>
      <c r="K5" s="328"/>
      <c r="L5" s="328"/>
    </row>
    <row r="6" spans="1:12" x14ac:dyDescent="0.25">
      <c r="A6" s="325" t="s">
        <v>209</v>
      </c>
      <c r="B6" s="325" t="s">
        <v>210</v>
      </c>
      <c r="C6" s="325" t="s">
        <v>211</v>
      </c>
      <c r="D6" s="325" t="s">
        <v>177</v>
      </c>
      <c r="E6" s="325" t="s">
        <v>294</v>
      </c>
      <c r="F6" s="325" t="s">
        <v>314</v>
      </c>
      <c r="G6" s="325" t="s">
        <v>339</v>
      </c>
      <c r="H6" s="340">
        <v>2026</v>
      </c>
      <c r="I6" s="328">
        <v>23</v>
      </c>
      <c r="J6" s="328">
        <v>500</v>
      </c>
      <c r="K6" s="328"/>
      <c r="L6" s="328"/>
    </row>
    <row r="7" spans="1:12" x14ac:dyDescent="0.25">
      <c r="A7" s="325" t="s">
        <v>238</v>
      </c>
      <c r="B7" s="325" t="s">
        <v>239</v>
      </c>
      <c r="C7" s="325" t="s">
        <v>240</v>
      </c>
      <c r="D7" s="325" t="s">
        <v>177</v>
      </c>
      <c r="E7" s="325" t="s">
        <v>294</v>
      </c>
      <c r="F7" s="325" t="s">
        <v>314</v>
      </c>
      <c r="G7" s="325" t="s">
        <v>314</v>
      </c>
      <c r="H7" s="340">
        <v>2026</v>
      </c>
      <c r="I7" s="328">
        <v>7</v>
      </c>
      <c r="J7" s="328">
        <v>5500</v>
      </c>
      <c r="K7" s="328"/>
      <c r="L7" s="328"/>
    </row>
    <row r="8" spans="1:12" x14ac:dyDescent="0.25">
      <c r="A8" s="325" t="s">
        <v>203</v>
      </c>
      <c r="B8" s="325" t="s">
        <v>204</v>
      </c>
      <c r="C8" s="325" t="s">
        <v>205</v>
      </c>
      <c r="D8" s="325" t="s">
        <v>177</v>
      </c>
      <c r="E8" s="325" t="s">
        <v>291</v>
      </c>
      <c r="F8" s="325" t="s">
        <v>305</v>
      </c>
      <c r="G8" s="325" t="s">
        <v>307</v>
      </c>
      <c r="H8" s="340">
        <v>2026</v>
      </c>
      <c r="I8" s="328">
        <v>20</v>
      </c>
      <c r="J8" s="328">
        <v>1620</v>
      </c>
      <c r="K8" s="328"/>
      <c r="L8" s="328"/>
    </row>
    <row r="9" spans="1:12" x14ac:dyDescent="0.25">
      <c r="A9" s="325" t="s">
        <v>200</v>
      </c>
      <c r="B9" s="325" t="s">
        <v>201</v>
      </c>
      <c r="C9" s="325" t="s">
        <v>202</v>
      </c>
      <c r="D9" s="325" t="s">
        <v>177</v>
      </c>
      <c r="E9" s="325" t="s">
        <v>291</v>
      </c>
      <c r="F9" s="325" t="s">
        <v>305</v>
      </c>
      <c r="G9" s="325" t="s">
        <v>306</v>
      </c>
      <c r="H9" s="340">
        <v>2026</v>
      </c>
      <c r="I9" s="328">
        <v>20</v>
      </c>
      <c r="J9" s="328">
        <v>220</v>
      </c>
      <c r="K9" s="328"/>
      <c r="L9" s="328"/>
    </row>
    <row r="10" spans="1:12" x14ac:dyDescent="0.25">
      <c r="A10" s="325" t="s">
        <v>197</v>
      </c>
      <c r="B10" s="325" t="s">
        <v>198</v>
      </c>
      <c r="C10" s="325" t="s">
        <v>199</v>
      </c>
      <c r="D10" s="325" t="s">
        <v>177</v>
      </c>
      <c r="E10" s="325" t="s">
        <v>291</v>
      </c>
      <c r="F10" s="325" t="s">
        <v>305</v>
      </c>
      <c r="G10" s="325" t="s">
        <v>305</v>
      </c>
      <c r="H10" s="340">
        <v>2026</v>
      </c>
      <c r="I10" s="328">
        <v>20</v>
      </c>
      <c r="J10" s="328">
        <v>800</v>
      </c>
      <c r="K10" s="328"/>
      <c r="L10" s="328"/>
    </row>
    <row r="11" spans="1:12" x14ac:dyDescent="0.25">
      <c r="A11" s="325" t="s">
        <v>376</v>
      </c>
      <c r="B11" s="325" t="s">
        <v>123</v>
      </c>
      <c r="C11" s="325" t="s">
        <v>124</v>
      </c>
      <c r="D11" s="325" t="s">
        <v>175</v>
      </c>
      <c r="E11" s="325" t="s">
        <v>287</v>
      </c>
      <c r="F11" s="325" t="s">
        <v>303</v>
      </c>
      <c r="G11" s="325" t="s">
        <v>337</v>
      </c>
      <c r="H11" s="340">
        <v>2026</v>
      </c>
      <c r="I11" s="328">
        <v>4</v>
      </c>
      <c r="J11" s="328">
        <v>820</v>
      </c>
      <c r="K11" s="328">
        <v>646</v>
      </c>
      <c r="L11" s="328">
        <v>311</v>
      </c>
    </row>
    <row r="12" spans="1:12" x14ac:dyDescent="0.25">
      <c r="A12" s="325" t="s">
        <v>365</v>
      </c>
      <c r="B12" s="324"/>
      <c r="C12" s="324"/>
      <c r="D12" s="324"/>
      <c r="E12" s="324"/>
      <c r="F12" s="324"/>
      <c r="G12" s="324"/>
      <c r="H12" s="340">
        <v>2026</v>
      </c>
      <c r="I12" s="328">
        <v>98</v>
      </c>
      <c r="J12" s="328">
        <v>38729</v>
      </c>
      <c r="K12" s="328">
        <v>16560</v>
      </c>
      <c r="L12" s="328">
        <v>7954</v>
      </c>
    </row>
    <row r="13" spans="1:12" x14ac:dyDescent="0.25">
      <c r="A13" s="325" t="s">
        <v>53</v>
      </c>
      <c r="B13" s="325" t="s">
        <v>140</v>
      </c>
      <c r="C13" s="325" t="s">
        <v>131</v>
      </c>
      <c r="D13" s="325" t="s">
        <v>145</v>
      </c>
      <c r="E13" s="325" t="s">
        <v>294</v>
      </c>
      <c r="F13" s="325" t="s">
        <v>314</v>
      </c>
      <c r="G13" s="325" t="s">
        <v>356</v>
      </c>
      <c r="H13" s="340">
        <v>2024</v>
      </c>
      <c r="I13" s="328">
        <v>39</v>
      </c>
      <c r="J13" s="328">
        <v>1560</v>
      </c>
      <c r="K13" s="328">
        <v>499</v>
      </c>
      <c r="L13" s="328">
        <v>372</v>
      </c>
    </row>
    <row r="14" spans="1:12" x14ac:dyDescent="0.25">
      <c r="A14" s="325" t="s">
        <v>52</v>
      </c>
      <c r="B14" s="325" t="s">
        <v>127</v>
      </c>
      <c r="C14" s="325" t="s">
        <v>128</v>
      </c>
      <c r="D14" s="325" t="s">
        <v>146</v>
      </c>
      <c r="E14" s="325" t="s">
        <v>297</v>
      </c>
      <c r="F14" s="325" t="s">
        <v>14</v>
      </c>
      <c r="G14" s="325" t="s">
        <v>9</v>
      </c>
      <c r="H14" s="340">
        <v>2025</v>
      </c>
      <c r="I14" s="328">
        <v>5</v>
      </c>
      <c r="J14" s="328">
        <v>2024</v>
      </c>
      <c r="K14" s="328">
        <v>534</v>
      </c>
      <c r="L14" s="328">
        <v>348</v>
      </c>
    </row>
    <row r="15" spans="1:12" x14ac:dyDescent="0.25">
      <c r="A15" s="325" t="s">
        <v>89</v>
      </c>
      <c r="B15" s="325" t="s">
        <v>267</v>
      </c>
      <c r="C15" s="325" t="s">
        <v>268</v>
      </c>
      <c r="D15" s="325" t="s">
        <v>284</v>
      </c>
      <c r="E15" s="325" t="s">
        <v>292</v>
      </c>
      <c r="F15" s="325" t="s">
        <v>308</v>
      </c>
      <c r="G15" s="325" t="s">
        <v>350</v>
      </c>
      <c r="H15" s="340">
        <v>2023</v>
      </c>
      <c r="I15" s="328">
        <v>1</v>
      </c>
      <c r="J15" s="328">
        <v>80</v>
      </c>
      <c r="K15" s="328">
        <v>80</v>
      </c>
      <c r="L15" s="328">
        <v>33</v>
      </c>
    </row>
    <row r="16" spans="1:12" x14ac:dyDescent="0.25">
      <c r="A16" s="325" t="s">
        <v>156</v>
      </c>
      <c r="B16" s="325" t="s">
        <v>167</v>
      </c>
      <c r="C16" s="325" t="s">
        <v>180</v>
      </c>
      <c r="D16" s="325" t="s">
        <v>177</v>
      </c>
      <c r="E16" s="325" t="s">
        <v>290</v>
      </c>
      <c r="F16" s="325" t="s">
        <v>13</v>
      </c>
      <c r="G16" s="325" t="s">
        <v>342</v>
      </c>
      <c r="H16" s="340">
        <v>2026</v>
      </c>
      <c r="I16" s="328">
        <v>25</v>
      </c>
      <c r="J16" s="328">
        <v>15640</v>
      </c>
      <c r="K16" s="328"/>
      <c r="L16" s="328"/>
    </row>
    <row r="17" spans="1:12" x14ac:dyDescent="0.25">
      <c r="A17" s="325" t="s">
        <v>157</v>
      </c>
      <c r="B17" s="325" t="s">
        <v>168</v>
      </c>
      <c r="C17" s="325" t="s">
        <v>181</v>
      </c>
      <c r="D17" s="325" t="s">
        <v>177</v>
      </c>
      <c r="E17" s="325" t="s">
        <v>291</v>
      </c>
      <c r="F17" s="325" t="s">
        <v>16</v>
      </c>
      <c r="G17" s="325" t="s">
        <v>357</v>
      </c>
      <c r="H17" s="340">
        <v>2026</v>
      </c>
      <c r="I17" s="328">
        <v>4</v>
      </c>
      <c r="J17" s="328">
        <v>3200</v>
      </c>
      <c r="K17" s="328">
        <v>1795</v>
      </c>
      <c r="L17" s="328">
        <v>1642</v>
      </c>
    </row>
    <row r="18" spans="1:12" x14ac:dyDescent="0.25">
      <c r="A18" s="325" t="s">
        <v>56</v>
      </c>
      <c r="B18" s="325" t="s">
        <v>135</v>
      </c>
      <c r="C18" s="325" t="s">
        <v>136</v>
      </c>
      <c r="D18" s="325" t="s">
        <v>145</v>
      </c>
      <c r="E18" s="325" t="s">
        <v>300</v>
      </c>
      <c r="F18" s="325" t="s">
        <v>363</v>
      </c>
      <c r="G18" s="325" t="s">
        <v>350</v>
      </c>
      <c r="H18" s="340">
        <v>2025</v>
      </c>
      <c r="I18" s="328">
        <v>6</v>
      </c>
      <c r="J18" s="328">
        <v>1823</v>
      </c>
      <c r="K18" s="328">
        <v>2007</v>
      </c>
      <c r="L18" s="328">
        <v>1371</v>
      </c>
    </row>
    <row r="19" spans="1:12" x14ac:dyDescent="0.25">
      <c r="A19" s="325" t="s">
        <v>54</v>
      </c>
      <c r="B19" s="325" t="s">
        <v>129</v>
      </c>
      <c r="C19" s="325" t="s">
        <v>130</v>
      </c>
      <c r="D19" s="325" t="s">
        <v>145</v>
      </c>
      <c r="E19" s="325" t="s">
        <v>326</v>
      </c>
      <c r="F19" s="325" t="s">
        <v>37</v>
      </c>
      <c r="G19" s="325" t="s">
        <v>350</v>
      </c>
      <c r="H19" s="340">
        <v>2025</v>
      </c>
      <c r="I19" s="328">
        <v>18</v>
      </c>
      <c r="J19" s="328">
        <v>14402</v>
      </c>
      <c r="K19" s="328">
        <v>11645</v>
      </c>
      <c r="L19" s="328">
        <v>4188</v>
      </c>
    </row>
    <row r="20" spans="1:12" x14ac:dyDescent="0.25">
      <c r="A20" s="325" t="s">
        <v>368</v>
      </c>
      <c r="B20" s="324"/>
      <c r="C20" s="324"/>
      <c r="D20" s="324"/>
      <c r="E20" s="324"/>
      <c r="F20" s="324"/>
      <c r="G20" s="324"/>
      <c r="H20" s="340">
        <v>2027</v>
      </c>
      <c r="I20" s="328">
        <v>54</v>
      </c>
      <c r="J20" s="328">
        <v>10754</v>
      </c>
      <c r="K20" s="328">
        <v>108</v>
      </c>
      <c r="L20" s="328">
        <v>108</v>
      </c>
    </row>
    <row r="21" spans="1:12" x14ac:dyDescent="0.25">
      <c r="A21" s="325" t="s">
        <v>152</v>
      </c>
      <c r="B21" s="325" t="s">
        <v>163</v>
      </c>
      <c r="C21" s="325" t="s">
        <v>174</v>
      </c>
      <c r="D21" s="325" t="s">
        <v>175</v>
      </c>
      <c r="E21" s="325" t="s">
        <v>287</v>
      </c>
      <c r="F21" s="325" t="s">
        <v>303</v>
      </c>
      <c r="G21" s="325" t="s">
        <v>344</v>
      </c>
      <c r="H21" s="340">
        <v>2026</v>
      </c>
      <c r="I21" s="328">
        <v>4</v>
      </c>
      <c r="J21" s="328">
        <v>400</v>
      </c>
      <c r="K21" s="328"/>
      <c r="L21" s="328"/>
    </row>
    <row r="22" spans="1:12" x14ac:dyDescent="0.25">
      <c r="A22" s="325" t="s">
        <v>153</v>
      </c>
      <c r="B22" s="325" t="s">
        <v>164</v>
      </c>
      <c r="C22" s="325" t="s">
        <v>176</v>
      </c>
      <c r="D22" s="325" t="s">
        <v>177</v>
      </c>
      <c r="E22" s="325" t="s">
        <v>288</v>
      </c>
      <c r="F22" s="325" t="s">
        <v>32</v>
      </c>
      <c r="G22" s="325" t="s">
        <v>345</v>
      </c>
      <c r="H22" s="340">
        <v>2026</v>
      </c>
      <c r="I22" s="328">
        <v>1</v>
      </c>
      <c r="J22" s="328">
        <v>600</v>
      </c>
      <c r="K22" s="328"/>
      <c r="L22" s="328"/>
    </row>
    <row r="23" spans="1:12" x14ac:dyDescent="0.25">
      <c r="A23" s="325" t="s">
        <v>270</v>
      </c>
      <c r="B23" s="325" t="s">
        <v>269</v>
      </c>
      <c r="C23" s="325" t="s">
        <v>271</v>
      </c>
      <c r="D23" s="325" t="s">
        <v>284</v>
      </c>
      <c r="E23" s="325" t="s">
        <v>331</v>
      </c>
      <c r="F23" s="325" t="s">
        <v>330</v>
      </c>
      <c r="G23" s="325" t="s">
        <v>350</v>
      </c>
      <c r="H23" s="340">
        <v>2023</v>
      </c>
      <c r="I23" s="328">
        <v>1</v>
      </c>
      <c r="J23" s="328">
        <v>100</v>
      </c>
      <c r="K23" s="328">
        <v>14</v>
      </c>
      <c r="L23" s="328">
        <v>14</v>
      </c>
    </row>
    <row r="24" spans="1:12" x14ac:dyDescent="0.25">
      <c r="A24" s="325" t="s">
        <v>372</v>
      </c>
      <c r="B24" s="325" t="s">
        <v>373</v>
      </c>
      <c r="C24" s="325" t="s">
        <v>374</v>
      </c>
      <c r="D24" s="325" t="s">
        <v>284</v>
      </c>
      <c r="E24" s="325" t="s">
        <v>375</v>
      </c>
      <c r="F24" s="325" t="s">
        <v>33</v>
      </c>
      <c r="G24" s="325" t="s">
        <v>350</v>
      </c>
      <c r="H24" s="340">
        <v>2023</v>
      </c>
      <c r="I24" s="328">
        <v>2</v>
      </c>
      <c r="J24" s="328">
        <v>94</v>
      </c>
      <c r="K24" s="328">
        <v>94</v>
      </c>
      <c r="L24" s="328">
        <v>94</v>
      </c>
    </row>
    <row r="25" spans="1:12" x14ac:dyDescent="0.25">
      <c r="A25" s="325" t="s">
        <v>155</v>
      </c>
      <c r="B25" s="325" t="s">
        <v>166</v>
      </c>
      <c r="C25" s="325" t="s">
        <v>179</v>
      </c>
      <c r="D25" s="325" t="s">
        <v>177</v>
      </c>
      <c r="E25" s="325" t="s">
        <v>288</v>
      </c>
      <c r="F25" s="325" t="s">
        <v>32</v>
      </c>
      <c r="G25" s="325" t="s">
        <v>346</v>
      </c>
      <c r="H25" s="340">
        <v>2027</v>
      </c>
      <c r="I25" s="328">
        <v>2</v>
      </c>
      <c r="J25" s="328">
        <v>4800</v>
      </c>
      <c r="K25" s="328"/>
      <c r="L25" s="328"/>
    </row>
    <row r="26" spans="1:12" x14ac:dyDescent="0.25">
      <c r="A26" s="325" t="s">
        <v>158</v>
      </c>
      <c r="B26" s="325" t="s">
        <v>169</v>
      </c>
      <c r="C26" s="325" t="s">
        <v>182</v>
      </c>
      <c r="D26" s="325" t="s">
        <v>177</v>
      </c>
      <c r="E26" s="325" t="s">
        <v>292</v>
      </c>
      <c r="F26" s="325" t="s">
        <v>308</v>
      </c>
      <c r="G26" s="325" t="s">
        <v>308</v>
      </c>
      <c r="H26" s="340">
        <v>2026</v>
      </c>
      <c r="I26" s="328">
        <v>1</v>
      </c>
      <c r="J26" s="328">
        <v>300</v>
      </c>
      <c r="K26" s="328"/>
      <c r="L26" s="328"/>
    </row>
    <row r="27" spans="1:12" x14ac:dyDescent="0.25">
      <c r="A27" s="325" t="s">
        <v>253</v>
      </c>
      <c r="B27" s="325" t="s">
        <v>254</v>
      </c>
      <c r="C27" s="325" t="s">
        <v>255</v>
      </c>
      <c r="D27" s="325" t="s">
        <v>177</v>
      </c>
      <c r="E27" s="325" t="s">
        <v>299</v>
      </c>
      <c r="F27" s="325" t="s">
        <v>325</v>
      </c>
      <c r="G27" s="325" t="s">
        <v>325</v>
      </c>
      <c r="H27" s="340">
        <v>2026</v>
      </c>
      <c r="I27" s="328">
        <v>20</v>
      </c>
      <c r="J27" s="328">
        <v>3000</v>
      </c>
      <c r="K27" s="328"/>
      <c r="L27" s="328"/>
    </row>
    <row r="28" spans="1:12" x14ac:dyDescent="0.25">
      <c r="A28" s="325" t="s">
        <v>159</v>
      </c>
      <c r="B28" s="325" t="s">
        <v>170</v>
      </c>
      <c r="C28" s="325" t="s">
        <v>183</v>
      </c>
      <c r="D28" s="325" t="s">
        <v>177</v>
      </c>
      <c r="E28" s="325" t="s">
        <v>290</v>
      </c>
      <c r="F28" s="325" t="s">
        <v>309</v>
      </c>
      <c r="G28" s="325" t="s">
        <v>358</v>
      </c>
      <c r="H28" s="340">
        <v>2026</v>
      </c>
      <c r="I28" s="328">
        <v>11</v>
      </c>
      <c r="J28" s="328">
        <v>440</v>
      </c>
      <c r="K28" s="328"/>
      <c r="L28" s="328"/>
    </row>
    <row r="29" spans="1:12" x14ac:dyDescent="0.25">
      <c r="A29" s="325" t="s">
        <v>160</v>
      </c>
      <c r="B29" s="325" t="s">
        <v>171</v>
      </c>
      <c r="C29" s="325" t="s">
        <v>184</v>
      </c>
      <c r="D29" s="325" t="s">
        <v>177</v>
      </c>
      <c r="E29" s="325" t="s">
        <v>290</v>
      </c>
      <c r="F29" s="325" t="s">
        <v>310</v>
      </c>
      <c r="G29" s="325" t="s">
        <v>359</v>
      </c>
      <c r="H29" s="340">
        <v>2026</v>
      </c>
      <c r="I29" s="328">
        <v>6</v>
      </c>
      <c r="J29" s="328">
        <v>180</v>
      </c>
      <c r="K29" s="328"/>
      <c r="L29" s="328"/>
    </row>
    <row r="30" spans="1:12" x14ac:dyDescent="0.25">
      <c r="A30" s="325" t="s">
        <v>161</v>
      </c>
      <c r="B30" s="325" t="s">
        <v>172</v>
      </c>
      <c r="C30" s="325" t="s">
        <v>185</v>
      </c>
      <c r="D30" s="325" t="s">
        <v>177</v>
      </c>
      <c r="E30" s="325" t="s">
        <v>288</v>
      </c>
      <c r="F30" s="325" t="s">
        <v>32</v>
      </c>
      <c r="G30" s="325" t="s">
        <v>349</v>
      </c>
      <c r="H30" s="340">
        <v>2026</v>
      </c>
      <c r="I30" s="328">
        <v>6</v>
      </c>
      <c r="J30" s="328">
        <v>840</v>
      </c>
      <c r="K30" s="328"/>
      <c r="L30" s="328"/>
    </row>
    <row r="31" spans="1:12" x14ac:dyDescent="0.25">
      <c r="A31" s="325" t="s">
        <v>369</v>
      </c>
      <c r="B31" s="324"/>
      <c r="C31" s="324"/>
      <c r="D31" s="324"/>
      <c r="E31" s="324"/>
      <c r="F31" s="324"/>
      <c r="G31" s="324"/>
      <c r="H31" s="340">
        <v>2027</v>
      </c>
      <c r="I31" s="328">
        <v>126</v>
      </c>
      <c r="J31" s="328">
        <v>10767</v>
      </c>
      <c r="K31" s="328"/>
      <c r="L31" s="328"/>
    </row>
    <row r="32" spans="1:12" x14ac:dyDescent="0.25">
      <c r="A32" s="325" t="s">
        <v>218</v>
      </c>
      <c r="B32" s="325" t="s">
        <v>219</v>
      </c>
      <c r="C32" s="325" t="s">
        <v>220</v>
      </c>
      <c r="D32" s="325" t="s">
        <v>177</v>
      </c>
      <c r="E32" s="325" t="s">
        <v>293</v>
      </c>
      <c r="F32" s="325" t="s">
        <v>319</v>
      </c>
      <c r="G32" s="325" t="s">
        <v>319</v>
      </c>
      <c r="H32" s="340">
        <v>2026</v>
      </c>
      <c r="I32" s="328">
        <v>1</v>
      </c>
      <c r="J32" s="328">
        <v>200</v>
      </c>
      <c r="K32" s="328"/>
      <c r="L32" s="328"/>
    </row>
    <row r="33" spans="1:12" x14ac:dyDescent="0.25">
      <c r="A33" s="325" t="s">
        <v>224</v>
      </c>
      <c r="B33" s="325" t="s">
        <v>225</v>
      </c>
      <c r="C33" s="325" t="s">
        <v>226</v>
      </c>
      <c r="D33" s="325" t="s">
        <v>177</v>
      </c>
      <c r="E33" s="325" t="s">
        <v>296</v>
      </c>
      <c r="F33" s="325" t="s">
        <v>316</v>
      </c>
      <c r="G33" s="325" t="s">
        <v>316</v>
      </c>
      <c r="H33" s="340">
        <v>2026</v>
      </c>
      <c r="I33" s="328">
        <v>21</v>
      </c>
      <c r="J33" s="328">
        <v>420</v>
      </c>
      <c r="K33" s="328"/>
      <c r="L33" s="328"/>
    </row>
    <row r="34" spans="1:12" x14ac:dyDescent="0.25">
      <c r="A34" s="325" t="s">
        <v>381</v>
      </c>
      <c r="B34" s="325" t="s">
        <v>251</v>
      </c>
      <c r="C34" s="325" t="s">
        <v>252</v>
      </c>
      <c r="D34" s="325" t="s">
        <v>177</v>
      </c>
      <c r="E34" s="325" t="s">
        <v>287</v>
      </c>
      <c r="F34" s="325" t="s">
        <v>303</v>
      </c>
      <c r="G34" s="325" t="s">
        <v>303</v>
      </c>
      <c r="H34" s="340">
        <v>2027</v>
      </c>
      <c r="I34" s="328">
        <v>15</v>
      </c>
      <c r="J34" s="328">
        <v>2500</v>
      </c>
      <c r="K34" s="328"/>
      <c r="L34" s="328"/>
    </row>
    <row r="35" spans="1:12" x14ac:dyDescent="0.25">
      <c r="A35" s="325" t="s">
        <v>212</v>
      </c>
      <c r="B35" s="325" t="s">
        <v>213</v>
      </c>
      <c r="C35" s="325" t="s">
        <v>214</v>
      </c>
      <c r="D35" s="325" t="s">
        <v>177</v>
      </c>
      <c r="E35" s="325" t="s">
        <v>295</v>
      </c>
      <c r="F35" s="325" t="s">
        <v>315</v>
      </c>
      <c r="G35" s="325" t="s">
        <v>315</v>
      </c>
      <c r="H35" s="340">
        <v>2026</v>
      </c>
      <c r="I35" s="328">
        <v>4</v>
      </c>
      <c r="J35" s="328">
        <v>250</v>
      </c>
      <c r="K35" s="328"/>
      <c r="L35" s="328"/>
    </row>
    <row r="36" spans="1:12" x14ac:dyDescent="0.25">
      <c r="A36" s="325" t="s">
        <v>191</v>
      </c>
      <c r="B36" s="325" t="s">
        <v>192</v>
      </c>
      <c r="C36" s="325" t="s">
        <v>193</v>
      </c>
      <c r="D36" s="325" t="s">
        <v>177</v>
      </c>
      <c r="E36" s="325" t="s">
        <v>293</v>
      </c>
      <c r="F36" s="325" t="s">
        <v>311</v>
      </c>
      <c r="G36" s="325" t="s">
        <v>311</v>
      </c>
      <c r="H36" s="340">
        <v>2026</v>
      </c>
      <c r="I36" s="328">
        <v>13</v>
      </c>
      <c r="J36" s="328">
        <v>275</v>
      </c>
      <c r="K36" s="328"/>
      <c r="L36" s="328"/>
    </row>
    <row r="37" spans="1:12" x14ac:dyDescent="0.25">
      <c r="A37" s="325" t="s">
        <v>235</v>
      </c>
      <c r="B37" s="325" t="s">
        <v>236</v>
      </c>
      <c r="C37" s="325" t="s">
        <v>237</v>
      </c>
      <c r="D37" s="325" t="s">
        <v>177</v>
      </c>
      <c r="E37" s="325" t="s">
        <v>289</v>
      </c>
      <c r="F37" s="325" t="s">
        <v>317</v>
      </c>
      <c r="G37" s="325" t="s">
        <v>317</v>
      </c>
      <c r="H37" s="340">
        <v>2026</v>
      </c>
      <c r="I37" s="328">
        <v>5</v>
      </c>
      <c r="J37" s="328">
        <v>400</v>
      </c>
      <c r="K37" s="328"/>
      <c r="L37" s="328"/>
    </row>
    <row r="38" spans="1:12" x14ac:dyDescent="0.25">
      <c r="A38" s="325" t="s">
        <v>241</v>
      </c>
      <c r="B38" s="325" t="s">
        <v>242</v>
      </c>
      <c r="C38" s="325" t="s">
        <v>243</v>
      </c>
      <c r="D38" s="325" t="s">
        <v>177</v>
      </c>
      <c r="E38" s="325" t="s">
        <v>297</v>
      </c>
      <c r="F38" s="325" t="s">
        <v>323</v>
      </c>
      <c r="G38" s="325" t="s">
        <v>323</v>
      </c>
      <c r="H38" s="340">
        <v>2026</v>
      </c>
      <c r="I38" s="328">
        <v>20</v>
      </c>
      <c r="J38" s="328">
        <v>600</v>
      </c>
      <c r="K38" s="328"/>
      <c r="L38" s="328"/>
    </row>
    <row r="39" spans="1:12" x14ac:dyDescent="0.25">
      <c r="A39" s="325" t="s">
        <v>244</v>
      </c>
      <c r="B39" s="325" t="s">
        <v>245</v>
      </c>
      <c r="C39" s="325" t="s">
        <v>246</v>
      </c>
      <c r="D39" s="325" t="s">
        <v>177</v>
      </c>
      <c r="E39" s="325" t="s">
        <v>288</v>
      </c>
      <c r="F39" s="325" t="s">
        <v>318</v>
      </c>
      <c r="G39" s="325" t="s">
        <v>318</v>
      </c>
      <c r="H39" s="340">
        <v>2027</v>
      </c>
      <c r="I39" s="328">
        <v>4</v>
      </c>
      <c r="J39" s="328">
        <v>3600</v>
      </c>
      <c r="K39" s="328"/>
      <c r="L39" s="328"/>
    </row>
    <row r="40" spans="1:12" x14ac:dyDescent="0.25">
      <c r="A40" s="325" t="s">
        <v>206</v>
      </c>
      <c r="B40" s="325" t="s">
        <v>207</v>
      </c>
      <c r="C40" s="325" t="s">
        <v>208</v>
      </c>
      <c r="D40" s="325" t="s">
        <v>177</v>
      </c>
      <c r="E40" s="325" t="s">
        <v>288</v>
      </c>
      <c r="F40" s="325" t="s">
        <v>313</v>
      </c>
      <c r="G40" s="325" t="s">
        <v>313</v>
      </c>
      <c r="H40" s="340">
        <v>2027</v>
      </c>
      <c r="I40" s="328">
        <v>3</v>
      </c>
      <c r="J40" s="328">
        <v>150</v>
      </c>
      <c r="K40" s="328"/>
      <c r="L40" s="328"/>
    </row>
    <row r="41" spans="1:12" x14ac:dyDescent="0.25">
      <c r="A41" s="325" t="s">
        <v>230</v>
      </c>
      <c r="B41" s="325" t="s">
        <v>231</v>
      </c>
      <c r="C41" s="325" t="s">
        <v>232</v>
      </c>
      <c r="D41" s="325" t="s">
        <v>177</v>
      </c>
      <c r="E41" s="325" t="s">
        <v>292</v>
      </c>
      <c r="F41" s="325" t="s">
        <v>320</v>
      </c>
      <c r="G41" s="325" t="s">
        <v>320</v>
      </c>
      <c r="H41" s="340">
        <v>2026</v>
      </c>
      <c r="I41" s="328">
        <v>1</v>
      </c>
      <c r="J41" s="328">
        <v>150</v>
      </c>
      <c r="K41" s="328"/>
      <c r="L41" s="328"/>
    </row>
    <row r="42" spans="1:12" x14ac:dyDescent="0.25">
      <c r="A42" s="325" t="s">
        <v>230</v>
      </c>
      <c r="B42" s="325" t="s">
        <v>233</v>
      </c>
      <c r="C42" s="325" t="s">
        <v>234</v>
      </c>
      <c r="D42" s="325" t="s">
        <v>177</v>
      </c>
      <c r="E42" s="325" t="s">
        <v>292</v>
      </c>
      <c r="F42" s="325" t="s">
        <v>320</v>
      </c>
      <c r="G42" s="325" t="s">
        <v>320</v>
      </c>
      <c r="H42" s="340">
        <v>2026</v>
      </c>
      <c r="I42" s="328">
        <v>2</v>
      </c>
      <c r="J42" s="328">
        <v>150</v>
      </c>
      <c r="K42" s="328"/>
      <c r="L42" s="328"/>
    </row>
    <row r="43" spans="1:12" x14ac:dyDescent="0.25">
      <c r="A43" s="325" t="s">
        <v>221</v>
      </c>
      <c r="B43" s="325" t="s">
        <v>222</v>
      </c>
      <c r="C43" s="325" t="s">
        <v>223</v>
      </c>
      <c r="D43" s="325" t="s">
        <v>177</v>
      </c>
      <c r="E43" s="325" t="s">
        <v>287</v>
      </c>
      <c r="F43" s="325" t="s">
        <v>321</v>
      </c>
      <c r="G43" s="325" t="s">
        <v>321</v>
      </c>
      <c r="H43" s="340">
        <v>2026</v>
      </c>
      <c r="I43" s="328">
        <v>9</v>
      </c>
      <c r="J43" s="328">
        <v>1280</v>
      </c>
      <c r="K43" s="328"/>
      <c r="L43" s="328"/>
    </row>
    <row r="44" spans="1:12" x14ac:dyDescent="0.25">
      <c r="A44" s="325" t="s">
        <v>194</v>
      </c>
      <c r="B44" s="325" t="s">
        <v>195</v>
      </c>
      <c r="C44" s="325" t="s">
        <v>196</v>
      </c>
      <c r="D44" s="325" t="s">
        <v>177</v>
      </c>
      <c r="E44" s="325" t="s">
        <v>288</v>
      </c>
      <c r="F44" s="325" t="s">
        <v>312</v>
      </c>
      <c r="G44" s="325" t="s">
        <v>312</v>
      </c>
      <c r="H44" s="340">
        <v>2026</v>
      </c>
      <c r="I44" s="328">
        <v>23</v>
      </c>
      <c r="J44" s="328">
        <v>592</v>
      </c>
      <c r="K44" s="328"/>
      <c r="L44" s="328"/>
    </row>
    <row r="45" spans="1:12" x14ac:dyDescent="0.25">
      <c r="A45" s="325" t="s">
        <v>227</v>
      </c>
      <c r="B45" s="325" t="s">
        <v>228</v>
      </c>
      <c r="C45" s="325" t="s">
        <v>229</v>
      </c>
      <c r="D45" s="325" t="s">
        <v>177</v>
      </c>
      <c r="E45" s="325" t="s">
        <v>296</v>
      </c>
      <c r="F45" s="325" t="s">
        <v>322</v>
      </c>
      <c r="G45" s="325" t="s">
        <v>322</v>
      </c>
      <c r="H45" s="340">
        <v>2026</v>
      </c>
      <c r="I45" s="328">
        <v>5</v>
      </c>
      <c r="J45" s="328">
        <v>200</v>
      </c>
      <c r="K45" s="328"/>
      <c r="L45" s="328"/>
    </row>
    <row r="46" spans="1:12" x14ac:dyDescent="0.25">
      <c r="A46" s="327" t="s">
        <v>275</v>
      </c>
      <c r="B46" s="326"/>
      <c r="C46" s="326"/>
      <c r="D46" s="326"/>
      <c r="E46" s="326"/>
      <c r="F46" s="326"/>
      <c r="G46" s="326"/>
      <c r="H46" s="340">
        <v>2027</v>
      </c>
      <c r="I46" s="328">
        <v>134</v>
      </c>
      <c r="J46" s="328">
        <v>18198</v>
      </c>
      <c r="K46" s="328">
        <v>6106</v>
      </c>
      <c r="L46" s="328">
        <v>3140</v>
      </c>
    </row>
    <row r="47" spans="1:12" x14ac:dyDescent="0.25">
      <c r="A47" s="325" t="s">
        <v>59</v>
      </c>
      <c r="B47" s="325" t="s">
        <v>132</v>
      </c>
      <c r="C47" s="325" t="s">
        <v>150</v>
      </c>
      <c r="D47" s="325" t="s">
        <v>284</v>
      </c>
      <c r="E47" s="325" t="s">
        <v>294</v>
      </c>
      <c r="F47" s="325" t="s">
        <v>314</v>
      </c>
      <c r="G47" s="327" t="s">
        <v>350</v>
      </c>
      <c r="H47" s="340">
        <v>2025</v>
      </c>
      <c r="I47" s="328">
        <v>96</v>
      </c>
      <c r="J47" s="328">
        <v>4535</v>
      </c>
      <c r="K47" s="328">
        <v>1678</v>
      </c>
      <c r="L47" s="328">
        <v>1301</v>
      </c>
    </row>
    <row r="48" spans="1:12" x14ac:dyDescent="0.25">
      <c r="A48" s="325" t="s">
        <v>57</v>
      </c>
      <c r="B48" s="325" t="s">
        <v>132</v>
      </c>
      <c r="C48" s="325" t="s">
        <v>133</v>
      </c>
      <c r="D48" s="325" t="s">
        <v>284</v>
      </c>
      <c r="E48" s="325" t="s">
        <v>301</v>
      </c>
      <c r="F48" s="325" t="s">
        <v>328</v>
      </c>
      <c r="G48" s="327" t="s">
        <v>353</v>
      </c>
      <c r="H48" s="340">
        <v>2023</v>
      </c>
      <c r="I48" s="328">
        <v>5</v>
      </c>
      <c r="J48" s="328">
        <v>4672</v>
      </c>
      <c r="K48" s="328">
        <v>1965</v>
      </c>
      <c r="L48" s="328">
        <v>939</v>
      </c>
    </row>
    <row r="49" spans="1:12" x14ac:dyDescent="0.25">
      <c r="A49" s="325" t="s">
        <v>85</v>
      </c>
      <c r="B49" s="325" t="s">
        <v>143</v>
      </c>
      <c r="C49" s="325" t="s">
        <v>144</v>
      </c>
      <c r="D49" s="325" t="s">
        <v>284</v>
      </c>
      <c r="E49" s="325" t="s">
        <v>302</v>
      </c>
      <c r="F49" s="325" t="s">
        <v>329</v>
      </c>
      <c r="G49" s="327" t="s">
        <v>355</v>
      </c>
      <c r="H49" s="340">
        <v>2023</v>
      </c>
      <c r="I49" s="328">
        <v>4</v>
      </c>
      <c r="J49" s="328">
        <v>2261</v>
      </c>
      <c r="K49" s="328">
        <v>1622</v>
      </c>
      <c r="L49" s="328">
        <v>454</v>
      </c>
    </row>
    <row r="50" spans="1:12" x14ac:dyDescent="0.25">
      <c r="A50" s="325" t="s">
        <v>76</v>
      </c>
      <c r="B50" s="325" t="s">
        <v>283</v>
      </c>
      <c r="C50" s="325" t="s">
        <v>283</v>
      </c>
      <c r="D50" s="325" t="s">
        <v>284</v>
      </c>
      <c r="E50" s="325" t="s">
        <v>294</v>
      </c>
      <c r="F50" s="325" t="s">
        <v>24</v>
      </c>
      <c r="G50" s="327" t="s">
        <v>24</v>
      </c>
      <c r="H50" s="340">
        <v>2023</v>
      </c>
      <c r="I50" s="328">
        <v>4</v>
      </c>
      <c r="J50" s="328">
        <v>100</v>
      </c>
      <c r="K50" s="328">
        <v>70</v>
      </c>
      <c r="L50" s="328">
        <v>55</v>
      </c>
    </row>
    <row r="51" spans="1:12" x14ac:dyDescent="0.25">
      <c r="A51" s="325" t="s">
        <v>332</v>
      </c>
      <c r="B51" s="325" t="s">
        <v>132</v>
      </c>
      <c r="C51" s="325" t="s">
        <v>133</v>
      </c>
      <c r="D51" s="325" t="s">
        <v>284</v>
      </c>
      <c r="E51" s="325" t="s">
        <v>301</v>
      </c>
      <c r="F51" s="325" t="s">
        <v>328</v>
      </c>
      <c r="G51" s="327" t="s">
        <v>354</v>
      </c>
      <c r="H51" s="340">
        <v>2024</v>
      </c>
      <c r="I51" s="328">
        <v>5</v>
      </c>
      <c r="J51" s="328">
        <v>1570</v>
      </c>
      <c r="K51" s="328">
        <v>771</v>
      </c>
      <c r="L51" s="328">
        <v>391</v>
      </c>
    </row>
    <row r="52" spans="1:12" x14ac:dyDescent="0.25">
      <c r="A52" s="325" t="s">
        <v>378</v>
      </c>
      <c r="B52" s="325" t="s">
        <v>377</v>
      </c>
      <c r="C52" s="325" t="s">
        <v>379</v>
      </c>
      <c r="D52" s="325" t="s">
        <v>175</v>
      </c>
      <c r="E52" s="325" t="s">
        <v>293</v>
      </c>
      <c r="F52" s="325" t="s">
        <v>380</v>
      </c>
      <c r="G52" s="325" t="s">
        <v>18</v>
      </c>
      <c r="H52" s="340">
        <v>2026</v>
      </c>
      <c r="I52" s="328">
        <v>12</v>
      </c>
      <c r="J52" s="328">
        <v>1080</v>
      </c>
      <c r="K52" s="328"/>
      <c r="L52" s="328"/>
    </row>
    <row r="53" spans="1:12" x14ac:dyDescent="0.25">
      <c r="A53" s="325" t="s">
        <v>162</v>
      </c>
      <c r="B53" s="325" t="s">
        <v>173</v>
      </c>
      <c r="C53" s="325" t="s">
        <v>186</v>
      </c>
      <c r="D53" s="325" t="s">
        <v>175</v>
      </c>
      <c r="E53" s="325" t="s">
        <v>287</v>
      </c>
      <c r="F53" s="325" t="s">
        <v>303</v>
      </c>
      <c r="G53" s="327" t="s">
        <v>360</v>
      </c>
      <c r="H53" s="340">
        <v>2027</v>
      </c>
      <c r="I53" s="328">
        <v>6</v>
      </c>
      <c r="J53" s="328">
        <v>2340</v>
      </c>
      <c r="K53" s="328"/>
      <c r="L53" s="328"/>
    </row>
    <row r="54" spans="1:12" x14ac:dyDescent="0.25">
      <c r="A54" s="325" t="s">
        <v>162</v>
      </c>
      <c r="B54" s="325" t="s">
        <v>189</v>
      </c>
      <c r="C54" s="325" t="s">
        <v>190</v>
      </c>
      <c r="D54" s="325" t="s">
        <v>175</v>
      </c>
      <c r="E54" s="325" t="s">
        <v>287</v>
      </c>
      <c r="F54" s="325" t="s">
        <v>303</v>
      </c>
      <c r="G54" s="325" t="s">
        <v>360</v>
      </c>
      <c r="H54" s="340">
        <v>2026</v>
      </c>
      <c r="I54" s="328">
        <v>2</v>
      </c>
      <c r="J54" s="328">
        <v>1640</v>
      </c>
      <c r="K54" s="328"/>
      <c r="L54" s="328"/>
    </row>
    <row r="55" spans="1:12" x14ac:dyDescent="0.25">
      <c r="A55" s="325" t="s">
        <v>366</v>
      </c>
      <c r="B55" s="324"/>
      <c r="C55" s="324"/>
      <c r="D55" s="324"/>
      <c r="E55" s="324"/>
      <c r="F55" s="324"/>
      <c r="G55" s="324"/>
      <c r="H55" s="340">
        <v>2025</v>
      </c>
      <c r="I55" s="328">
        <v>172</v>
      </c>
      <c r="J55" s="328">
        <v>10307</v>
      </c>
      <c r="K55" s="328">
        <v>10451</v>
      </c>
      <c r="L55" s="328">
        <v>7188</v>
      </c>
    </row>
    <row r="56" spans="1:12" x14ac:dyDescent="0.25">
      <c r="A56" s="325" t="s">
        <v>53</v>
      </c>
      <c r="B56" s="325" t="s">
        <v>140</v>
      </c>
      <c r="C56" s="325" t="s">
        <v>131</v>
      </c>
      <c r="D56" s="325" t="s">
        <v>145</v>
      </c>
      <c r="E56" s="325" t="s">
        <v>294</v>
      </c>
      <c r="F56" s="325" t="s">
        <v>314</v>
      </c>
      <c r="G56" s="325" t="s">
        <v>356</v>
      </c>
      <c r="H56" s="340">
        <v>2025</v>
      </c>
      <c r="I56" s="328">
        <v>140</v>
      </c>
      <c r="J56" s="328">
        <v>4040</v>
      </c>
      <c r="K56" s="328">
        <v>3479</v>
      </c>
      <c r="L56" s="328">
        <v>2737</v>
      </c>
    </row>
    <row r="57" spans="1:12" x14ac:dyDescent="0.25">
      <c r="A57" s="325" t="s">
        <v>119</v>
      </c>
      <c r="B57" s="325" t="s">
        <v>125</v>
      </c>
      <c r="C57" s="325" t="s">
        <v>126</v>
      </c>
      <c r="D57" s="325" t="s">
        <v>145</v>
      </c>
      <c r="E57" s="325" t="s">
        <v>290</v>
      </c>
      <c r="F57" s="325" t="s">
        <v>13</v>
      </c>
      <c r="G57" s="325" t="s">
        <v>350</v>
      </c>
      <c r="H57" s="340">
        <v>2025</v>
      </c>
      <c r="I57" s="328">
        <v>19</v>
      </c>
      <c r="J57" s="328">
        <v>4491</v>
      </c>
      <c r="K57" s="328">
        <v>5093</v>
      </c>
      <c r="L57" s="328">
        <v>3223</v>
      </c>
    </row>
    <row r="58" spans="1:12" x14ac:dyDescent="0.25">
      <c r="A58" s="325" t="s">
        <v>117</v>
      </c>
      <c r="B58" s="325" t="s">
        <v>370</v>
      </c>
      <c r="C58" s="325" t="s">
        <v>371</v>
      </c>
      <c r="D58" s="325" t="s">
        <v>146</v>
      </c>
      <c r="E58" s="325" t="s">
        <v>288</v>
      </c>
      <c r="F58" s="325" t="s">
        <v>30</v>
      </c>
      <c r="G58" s="325" t="s">
        <v>29</v>
      </c>
      <c r="H58" s="340">
        <v>2023</v>
      </c>
      <c r="I58" s="328">
        <v>1</v>
      </c>
      <c r="J58" s="328">
        <v>101</v>
      </c>
      <c r="K58" s="328">
        <v>101</v>
      </c>
      <c r="L58" s="328">
        <v>101</v>
      </c>
    </row>
    <row r="59" spans="1:12" x14ac:dyDescent="0.25">
      <c r="A59" s="325" t="s">
        <v>117</v>
      </c>
      <c r="B59" s="325" t="s">
        <v>125</v>
      </c>
      <c r="C59" s="325" t="s">
        <v>134</v>
      </c>
      <c r="D59" s="325" t="s">
        <v>146</v>
      </c>
      <c r="E59" s="325" t="s">
        <v>288</v>
      </c>
      <c r="F59" s="325" t="s">
        <v>30</v>
      </c>
      <c r="G59" s="325" t="s">
        <v>29</v>
      </c>
      <c r="H59" s="340">
        <v>2025</v>
      </c>
      <c r="I59" s="328">
        <v>6</v>
      </c>
      <c r="J59" s="328">
        <v>875</v>
      </c>
      <c r="K59" s="328">
        <v>957</v>
      </c>
      <c r="L59" s="328">
        <v>845</v>
      </c>
    </row>
    <row r="60" spans="1:12" x14ac:dyDescent="0.25">
      <c r="A60" s="325" t="s">
        <v>58</v>
      </c>
      <c r="B60" s="325" t="s">
        <v>137</v>
      </c>
      <c r="C60" s="325" t="s">
        <v>138</v>
      </c>
      <c r="D60" s="325" t="s">
        <v>146</v>
      </c>
      <c r="E60" s="325" t="s">
        <v>300</v>
      </c>
      <c r="F60" s="325" t="s">
        <v>27</v>
      </c>
      <c r="G60" s="325" t="s">
        <v>352</v>
      </c>
      <c r="H60" s="340">
        <v>2024</v>
      </c>
      <c r="I60" s="328">
        <v>6</v>
      </c>
      <c r="J60" s="328">
        <v>800</v>
      </c>
      <c r="K60" s="328">
        <v>821</v>
      </c>
      <c r="L60" s="328">
        <v>282</v>
      </c>
    </row>
    <row r="61" spans="1:12" x14ac:dyDescent="0.25">
      <c r="A61" s="330" t="s">
        <v>96</v>
      </c>
      <c r="B61" s="330"/>
      <c r="C61" s="330"/>
      <c r="D61" s="330"/>
      <c r="E61" s="330"/>
      <c r="F61" s="330"/>
      <c r="G61" s="330"/>
      <c r="H61" s="340">
        <v>2027</v>
      </c>
      <c r="I61" s="328">
        <v>735</v>
      </c>
      <c r="J61" s="328">
        <v>106320</v>
      </c>
      <c r="K61" s="328">
        <v>33871</v>
      </c>
      <c r="L61" s="328">
        <v>18701</v>
      </c>
    </row>
  </sheetData>
  <autoFilter ref="A1:L61" xr:uid="{0E3C7B66-0238-4B1B-8236-2A89345778B3}"/>
  <pageMargins left="0.511811024" right="0.511811024" top="0.78740157499999996" bottom="0.78740157499999996" header="0.31496062000000002" footer="0.31496062000000002"/>
  <pageSetup scale="22" fitToHeight="0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252D-F380-407F-BB7D-BD42336D9225}">
  <sheetPr>
    <pageSetUpPr fitToPage="1"/>
  </sheetPr>
  <dimension ref="A1:L76"/>
  <sheetViews>
    <sheetView zoomScale="85" zoomScaleNormal="85" workbookViewId="0">
      <pane ySplit="1" topLeftCell="A34" activePane="bottomLeft" state="frozen"/>
      <selection pane="bottomLeft" activeCell="D79" sqref="D79"/>
    </sheetView>
  </sheetViews>
  <sheetFormatPr defaultRowHeight="15" x14ac:dyDescent="0.25"/>
  <cols>
    <col min="1" max="1" width="94.28515625" bestFit="1" customWidth="1"/>
    <col min="2" max="2" width="9.7109375" bestFit="1" customWidth="1"/>
    <col min="3" max="3" width="31.5703125" bestFit="1" customWidth="1"/>
    <col min="4" max="4" width="20.42578125" bestFit="1" customWidth="1"/>
    <col min="5" max="5" width="21.42578125" bestFit="1" customWidth="1"/>
    <col min="6" max="6" width="9.28515625" bestFit="1" customWidth="1"/>
    <col min="7" max="7" width="21.42578125" customWidth="1"/>
    <col min="8" max="8" width="20.28515625" customWidth="1"/>
    <col min="9" max="9" width="12.5703125" style="110" bestFit="1" customWidth="1"/>
    <col min="10" max="10" width="12.140625" style="110" customWidth="1"/>
    <col min="11" max="11" width="17.42578125" style="110" bestFit="1" customWidth="1"/>
    <col min="12" max="12" width="17.140625" style="110" bestFit="1" customWidth="1"/>
  </cols>
  <sheetData>
    <row r="1" spans="1:12" ht="15.75" x14ac:dyDescent="0.25">
      <c r="A1" s="338" t="s">
        <v>51</v>
      </c>
      <c r="B1" s="338" t="s">
        <v>97</v>
      </c>
      <c r="C1" s="338" t="s">
        <v>121</v>
      </c>
      <c r="D1" s="338" t="s">
        <v>122</v>
      </c>
      <c r="E1" s="338" t="s">
        <v>120</v>
      </c>
      <c r="F1" s="338" t="s">
        <v>285</v>
      </c>
      <c r="G1" s="338" t="s">
        <v>286</v>
      </c>
      <c r="H1" s="338" t="s">
        <v>361</v>
      </c>
      <c r="I1" s="339" t="s">
        <v>63</v>
      </c>
      <c r="J1" s="339" t="s">
        <v>48</v>
      </c>
      <c r="K1" s="339" t="s">
        <v>50</v>
      </c>
      <c r="L1" s="339" t="s">
        <v>49</v>
      </c>
    </row>
    <row r="2" spans="1:12" ht="15.75" x14ac:dyDescent="0.25">
      <c r="A2" s="364" t="s">
        <v>272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</row>
    <row r="3" spans="1:12" x14ac:dyDescent="0.25">
      <c r="A3" s="111" t="s">
        <v>191</v>
      </c>
      <c r="B3" s="228">
        <v>2026</v>
      </c>
      <c r="C3" s="228" t="s">
        <v>192</v>
      </c>
      <c r="D3" s="228" t="s">
        <v>193</v>
      </c>
      <c r="E3" s="228" t="s">
        <v>177</v>
      </c>
      <c r="F3" s="228" t="s">
        <v>293</v>
      </c>
      <c r="G3" s="228" t="s">
        <v>311</v>
      </c>
      <c r="H3" s="228" t="s">
        <v>311</v>
      </c>
      <c r="I3" s="230">
        <v>13</v>
      </c>
      <c r="J3" s="230">
        <v>275</v>
      </c>
      <c r="K3" s="230"/>
      <c r="L3" s="230"/>
    </row>
    <row r="4" spans="1:12" x14ac:dyDescent="0.25">
      <c r="A4" s="111" t="s">
        <v>194</v>
      </c>
      <c r="B4" s="228">
        <v>2026</v>
      </c>
      <c r="C4" s="228" t="s">
        <v>195</v>
      </c>
      <c r="D4" s="228" t="s">
        <v>196</v>
      </c>
      <c r="E4" s="228" t="s">
        <v>177</v>
      </c>
      <c r="F4" s="228" t="s">
        <v>288</v>
      </c>
      <c r="G4" s="228" t="s">
        <v>312</v>
      </c>
      <c r="H4" s="228" t="s">
        <v>312</v>
      </c>
      <c r="I4" s="230">
        <v>23</v>
      </c>
      <c r="J4" s="230">
        <v>592</v>
      </c>
      <c r="K4" s="230"/>
      <c r="L4" s="230"/>
    </row>
    <row r="5" spans="1:12" x14ac:dyDescent="0.25">
      <c r="A5" s="111" t="s">
        <v>206</v>
      </c>
      <c r="B5" s="228">
        <v>2026</v>
      </c>
      <c r="C5" s="228" t="s">
        <v>207</v>
      </c>
      <c r="D5" s="228" t="s">
        <v>208</v>
      </c>
      <c r="E5" s="228" t="s">
        <v>177</v>
      </c>
      <c r="F5" s="228" t="s">
        <v>288</v>
      </c>
      <c r="G5" s="228" t="s">
        <v>313</v>
      </c>
      <c r="H5" s="228" t="s">
        <v>333</v>
      </c>
      <c r="I5" s="230">
        <v>3</v>
      </c>
      <c r="J5" s="230">
        <v>150</v>
      </c>
      <c r="K5" s="230"/>
      <c r="L5" s="230"/>
    </row>
    <row r="6" spans="1:12" x14ac:dyDescent="0.25">
      <c r="A6" s="111" t="s">
        <v>212</v>
      </c>
      <c r="B6" s="228">
        <v>2026</v>
      </c>
      <c r="C6" s="228" t="s">
        <v>213</v>
      </c>
      <c r="D6" s="228" t="s">
        <v>214</v>
      </c>
      <c r="E6" s="228" t="s">
        <v>177</v>
      </c>
      <c r="F6" s="228" t="s">
        <v>295</v>
      </c>
      <c r="G6" s="228" t="s">
        <v>315</v>
      </c>
      <c r="H6" s="228" t="s">
        <v>334</v>
      </c>
      <c r="I6" s="230">
        <v>4</v>
      </c>
      <c r="J6" s="230">
        <v>250</v>
      </c>
      <c r="K6" s="230"/>
      <c r="L6" s="230"/>
    </row>
    <row r="7" spans="1:12" x14ac:dyDescent="0.25">
      <c r="A7" s="111" t="s">
        <v>218</v>
      </c>
      <c r="B7" s="228">
        <v>2026</v>
      </c>
      <c r="C7" s="228" t="s">
        <v>219</v>
      </c>
      <c r="D7" s="228" t="s">
        <v>220</v>
      </c>
      <c r="E7" s="228" t="s">
        <v>177</v>
      </c>
      <c r="F7" s="228" t="s">
        <v>293</v>
      </c>
      <c r="G7" s="228" t="s">
        <v>319</v>
      </c>
      <c r="H7" s="228" t="s">
        <v>319</v>
      </c>
      <c r="I7" s="230">
        <v>1</v>
      </c>
      <c r="J7" s="230">
        <v>200</v>
      </c>
      <c r="K7" s="230"/>
      <c r="L7" s="230"/>
    </row>
    <row r="8" spans="1:12" x14ac:dyDescent="0.25">
      <c r="A8" s="111" t="s">
        <v>221</v>
      </c>
      <c r="B8" s="228">
        <v>2026</v>
      </c>
      <c r="C8" s="228" t="s">
        <v>222</v>
      </c>
      <c r="D8" s="228" t="s">
        <v>223</v>
      </c>
      <c r="E8" s="228" t="s">
        <v>177</v>
      </c>
      <c r="F8" s="228" t="s">
        <v>287</v>
      </c>
      <c r="G8" s="228" t="s">
        <v>321</v>
      </c>
      <c r="H8" s="228" t="s">
        <v>321</v>
      </c>
      <c r="I8" s="230">
        <v>9</v>
      </c>
      <c r="J8" s="230">
        <v>1280</v>
      </c>
      <c r="K8" s="230"/>
      <c r="L8" s="230"/>
    </row>
    <row r="9" spans="1:12" x14ac:dyDescent="0.25">
      <c r="A9" s="111" t="s">
        <v>224</v>
      </c>
      <c r="B9" s="228">
        <v>2026</v>
      </c>
      <c r="C9" s="228" t="s">
        <v>225</v>
      </c>
      <c r="D9" s="228" t="s">
        <v>226</v>
      </c>
      <c r="E9" s="228" t="s">
        <v>177</v>
      </c>
      <c r="F9" s="228" t="s">
        <v>296</v>
      </c>
      <c r="G9" s="228" t="s">
        <v>316</v>
      </c>
      <c r="H9" s="228" t="s">
        <v>335</v>
      </c>
      <c r="I9" s="230">
        <v>21</v>
      </c>
      <c r="J9" s="230">
        <v>420</v>
      </c>
      <c r="K9" s="230"/>
      <c r="L9" s="230"/>
    </row>
    <row r="10" spans="1:12" x14ac:dyDescent="0.25">
      <c r="A10" s="111" t="s">
        <v>227</v>
      </c>
      <c r="B10" s="228">
        <v>2026</v>
      </c>
      <c r="C10" s="228" t="s">
        <v>228</v>
      </c>
      <c r="D10" s="228" t="s">
        <v>229</v>
      </c>
      <c r="E10" s="228" t="s">
        <v>177</v>
      </c>
      <c r="F10" s="228" t="s">
        <v>296</v>
      </c>
      <c r="G10" s="228" t="s">
        <v>322</v>
      </c>
      <c r="H10" s="228" t="s">
        <v>322</v>
      </c>
      <c r="I10" s="230">
        <v>5</v>
      </c>
      <c r="J10" s="230">
        <v>200</v>
      </c>
      <c r="K10" s="230"/>
      <c r="L10" s="230"/>
    </row>
    <row r="11" spans="1:12" x14ac:dyDescent="0.25">
      <c r="A11" s="111" t="s">
        <v>230</v>
      </c>
      <c r="B11" s="228">
        <v>2026</v>
      </c>
      <c r="C11" s="228" t="s">
        <v>231</v>
      </c>
      <c r="D11" s="228" t="s">
        <v>232</v>
      </c>
      <c r="E11" s="228" t="s">
        <v>177</v>
      </c>
      <c r="F11" s="228" t="s">
        <v>292</v>
      </c>
      <c r="G11" s="228" t="s">
        <v>320</v>
      </c>
      <c r="H11" s="228" t="s">
        <v>336</v>
      </c>
      <c r="I11" s="230">
        <v>1</v>
      </c>
      <c r="J11" s="230">
        <v>150</v>
      </c>
      <c r="K11" s="230"/>
      <c r="L11" s="230"/>
    </row>
    <row r="12" spans="1:12" x14ac:dyDescent="0.25">
      <c r="A12" s="111" t="s">
        <v>230</v>
      </c>
      <c r="B12" s="228">
        <v>2026</v>
      </c>
      <c r="C12" s="228" t="s">
        <v>233</v>
      </c>
      <c r="D12" s="228" t="s">
        <v>234</v>
      </c>
      <c r="E12" s="228" t="s">
        <v>177</v>
      </c>
      <c r="F12" s="228" t="s">
        <v>292</v>
      </c>
      <c r="G12" s="228" t="s">
        <v>320</v>
      </c>
      <c r="H12" s="228" t="s">
        <v>336</v>
      </c>
      <c r="I12" s="230">
        <v>2</v>
      </c>
      <c r="J12" s="230">
        <v>150</v>
      </c>
      <c r="K12" s="230"/>
      <c r="L12" s="230"/>
    </row>
    <row r="13" spans="1:12" x14ac:dyDescent="0.25">
      <c r="A13" s="111" t="s">
        <v>235</v>
      </c>
      <c r="B13" s="228">
        <v>2026</v>
      </c>
      <c r="C13" s="228" t="s">
        <v>236</v>
      </c>
      <c r="D13" s="228" t="s">
        <v>237</v>
      </c>
      <c r="E13" s="228" t="s">
        <v>177</v>
      </c>
      <c r="F13" s="228" t="s">
        <v>289</v>
      </c>
      <c r="G13" s="228" t="s">
        <v>317</v>
      </c>
      <c r="H13" s="228" t="s">
        <v>317</v>
      </c>
      <c r="I13" s="230">
        <v>5</v>
      </c>
      <c r="J13" s="230">
        <v>400</v>
      </c>
      <c r="K13" s="230"/>
      <c r="L13" s="230"/>
    </row>
    <row r="14" spans="1:12" x14ac:dyDescent="0.25">
      <c r="A14" s="111" t="s">
        <v>241</v>
      </c>
      <c r="B14" s="228">
        <v>2026</v>
      </c>
      <c r="C14" s="228" t="s">
        <v>242</v>
      </c>
      <c r="D14" s="228" t="s">
        <v>243</v>
      </c>
      <c r="E14" s="228" t="s">
        <v>177</v>
      </c>
      <c r="F14" s="228" t="s">
        <v>297</v>
      </c>
      <c r="G14" s="228" t="s">
        <v>323</v>
      </c>
      <c r="H14" s="228" t="s">
        <v>323</v>
      </c>
      <c r="I14" s="230">
        <v>20</v>
      </c>
      <c r="J14" s="230">
        <v>600</v>
      </c>
      <c r="K14" s="230"/>
      <c r="L14" s="230"/>
    </row>
    <row r="15" spans="1:12" x14ac:dyDescent="0.25">
      <c r="A15" s="111" t="s">
        <v>244</v>
      </c>
      <c r="B15" s="228">
        <v>2026</v>
      </c>
      <c r="C15" s="228" t="s">
        <v>245</v>
      </c>
      <c r="D15" s="228" t="s">
        <v>246</v>
      </c>
      <c r="E15" s="228" t="s">
        <v>177</v>
      </c>
      <c r="F15" s="228" t="s">
        <v>288</v>
      </c>
      <c r="G15" s="228" t="s">
        <v>318</v>
      </c>
      <c r="H15" s="228" t="s">
        <v>318</v>
      </c>
      <c r="I15" s="230">
        <v>4</v>
      </c>
      <c r="J15" s="230">
        <v>3600</v>
      </c>
      <c r="K15" s="230"/>
      <c r="L15" s="230"/>
    </row>
    <row r="16" spans="1:12" x14ac:dyDescent="0.25">
      <c r="A16" s="111" t="s">
        <v>250</v>
      </c>
      <c r="B16" s="228">
        <v>2026</v>
      </c>
      <c r="C16" s="228" t="s">
        <v>251</v>
      </c>
      <c r="D16" s="228" t="s">
        <v>252</v>
      </c>
      <c r="E16" s="228" t="s">
        <v>177</v>
      </c>
      <c r="F16" s="228" t="s">
        <v>287</v>
      </c>
      <c r="G16" s="228" t="s">
        <v>303</v>
      </c>
      <c r="H16" s="228" t="s">
        <v>303</v>
      </c>
      <c r="I16" s="230">
        <v>9</v>
      </c>
      <c r="J16" s="230">
        <v>2500</v>
      </c>
      <c r="K16" s="230"/>
      <c r="L16" s="230"/>
    </row>
    <row r="17" spans="1:12" ht="15.75" x14ac:dyDescent="0.25">
      <c r="A17" s="360" t="s">
        <v>277</v>
      </c>
      <c r="B17" s="360"/>
      <c r="C17" s="360"/>
      <c r="D17" s="360"/>
      <c r="E17" s="360"/>
      <c r="F17" s="334"/>
      <c r="G17" s="334"/>
      <c r="H17" s="334"/>
      <c r="I17" s="335">
        <f>SUM(I3:I16)</f>
        <v>120</v>
      </c>
      <c r="J17" s="335">
        <f t="shared" ref="J17:L17" si="0">SUM(J3:J16)</f>
        <v>10767</v>
      </c>
      <c r="K17" s="335">
        <f t="shared" si="0"/>
        <v>0</v>
      </c>
      <c r="L17" s="335">
        <f t="shared" si="0"/>
        <v>0</v>
      </c>
    </row>
    <row r="18" spans="1:12" ht="15.75" x14ac:dyDescent="0.25">
      <c r="A18" s="364" t="s">
        <v>273</v>
      </c>
      <c r="B18" s="364"/>
      <c r="C18" s="364"/>
      <c r="D18" s="364"/>
      <c r="E18" s="364"/>
      <c r="F18" s="364"/>
      <c r="G18" s="364"/>
      <c r="H18" s="364"/>
      <c r="I18" s="364"/>
      <c r="J18" s="364"/>
      <c r="K18" s="364"/>
      <c r="L18" s="364"/>
    </row>
    <row r="19" spans="1:12" x14ac:dyDescent="0.25">
      <c r="A19" s="111" t="s">
        <v>139</v>
      </c>
      <c r="B19" s="228">
        <v>2026</v>
      </c>
      <c r="C19" s="228" t="s">
        <v>123</v>
      </c>
      <c r="D19" s="228" t="s">
        <v>124</v>
      </c>
      <c r="E19" s="228" t="s">
        <v>175</v>
      </c>
      <c r="F19" s="228" t="s">
        <v>287</v>
      </c>
      <c r="G19" s="228" t="s">
        <v>303</v>
      </c>
      <c r="H19" s="228" t="s">
        <v>337</v>
      </c>
      <c r="I19" s="230">
        <v>4</v>
      </c>
      <c r="J19" s="230">
        <v>900</v>
      </c>
      <c r="K19" s="230">
        <v>646</v>
      </c>
      <c r="L19" s="230">
        <v>311</v>
      </c>
    </row>
    <row r="20" spans="1:12" x14ac:dyDescent="0.25">
      <c r="A20" s="111" t="s">
        <v>154</v>
      </c>
      <c r="B20" s="228">
        <v>2026</v>
      </c>
      <c r="C20" s="228" t="s">
        <v>165</v>
      </c>
      <c r="D20" s="228" t="s">
        <v>178</v>
      </c>
      <c r="E20" s="228" t="s">
        <v>177</v>
      </c>
      <c r="F20" s="228" t="s">
        <v>289</v>
      </c>
      <c r="G20" s="228" t="s">
        <v>304</v>
      </c>
      <c r="H20" s="228" t="s">
        <v>362</v>
      </c>
      <c r="I20" s="230">
        <v>3</v>
      </c>
      <c r="J20" s="230">
        <v>400</v>
      </c>
      <c r="K20" s="230"/>
      <c r="L20" s="230"/>
    </row>
    <row r="21" spans="1:12" x14ac:dyDescent="0.25">
      <c r="A21" s="111" t="s">
        <v>197</v>
      </c>
      <c r="B21" s="228">
        <v>2026</v>
      </c>
      <c r="C21" s="228" t="s">
        <v>198</v>
      </c>
      <c r="D21" s="228" t="s">
        <v>199</v>
      </c>
      <c r="E21" s="228" t="s">
        <v>177</v>
      </c>
      <c r="F21" s="228" t="s">
        <v>291</v>
      </c>
      <c r="G21" s="228" t="s">
        <v>305</v>
      </c>
      <c r="H21" s="228" t="s">
        <v>305</v>
      </c>
      <c r="I21" s="230">
        <v>20</v>
      </c>
      <c r="J21" s="230">
        <v>800</v>
      </c>
      <c r="K21" s="230"/>
      <c r="L21" s="230"/>
    </row>
    <row r="22" spans="1:12" x14ac:dyDescent="0.25">
      <c r="A22" s="111" t="s">
        <v>200</v>
      </c>
      <c r="B22" s="228">
        <v>2026</v>
      </c>
      <c r="C22" s="228" t="s">
        <v>201</v>
      </c>
      <c r="D22" s="228" t="s">
        <v>202</v>
      </c>
      <c r="E22" s="228" t="s">
        <v>177</v>
      </c>
      <c r="F22" s="228" t="s">
        <v>291</v>
      </c>
      <c r="G22" s="228" t="s">
        <v>305</v>
      </c>
      <c r="H22" s="228" t="s">
        <v>338</v>
      </c>
      <c r="I22" s="230">
        <v>20</v>
      </c>
      <c r="J22" s="230">
        <v>220</v>
      </c>
      <c r="K22" s="230"/>
      <c r="L22" s="230"/>
    </row>
    <row r="23" spans="1:12" x14ac:dyDescent="0.25">
      <c r="A23" s="111" t="s">
        <v>203</v>
      </c>
      <c r="B23" s="228">
        <v>2026</v>
      </c>
      <c r="C23" s="228" t="s">
        <v>204</v>
      </c>
      <c r="D23" s="228" t="s">
        <v>205</v>
      </c>
      <c r="E23" s="228" t="s">
        <v>177</v>
      </c>
      <c r="F23" s="228" t="s">
        <v>291</v>
      </c>
      <c r="G23" s="228" t="s">
        <v>305</v>
      </c>
      <c r="H23" s="228" t="s">
        <v>307</v>
      </c>
      <c r="I23" s="230">
        <v>20</v>
      </c>
      <c r="J23" s="230">
        <v>1620</v>
      </c>
      <c r="K23" s="230"/>
      <c r="L23" s="230"/>
    </row>
    <row r="24" spans="1:12" x14ac:dyDescent="0.25">
      <c r="A24" s="111" t="s">
        <v>209</v>
      </c>
      <c r="B24" s="228">
        <v>2026</v>
      </c>
      <c r="C24" s="228" t="s">
        <v>210</v>
      </c>
      <c r="D24" s="228" t="s">
        <v>211</v>
      </c>
      <c r="E24" s="228" t="s">
        <v>177</v>
      </c>
      <c r="F24" s="228" t="s">
        <v>294</v>
      </c>
      <c r="G24" s="228" t="s">
        <v>314</v>
      </c>
      <c r="H24" s="228" t="s">
        <v>339</v>
      </c>
      <c r="I24" s="230">
        <v>23</v>
      </c>
      <c r="J24" s="230">
        <v>500</v>
      </c>
      <c r="K24" s="230"/>
      <c r="L24" s="230"/>
    </row>
    <row r="25" spans="1:12" x14ac:dyDescent="0.25">
      <c r="A25" s="111" t="s">
        <v>238</v>
      </c>
      <c r="B25" s="228">
        <v>2026</v>
      </c>
      <c r="C25" s="228" t="s">
        <v>239</v>
      </c>
      <c r="D25" s="228" t="s">
        <v>240</v>
      </c>
      <c r="E25" s="228" t="s">
        <v>177</v>
      </c>
      <c r="F25" s="228" t="s">
        <v>294</v>
      </c>
      <c r="G25" s="228" t="s">
        <v>314</v>
      </c>
      <c r="H25" s="228" t="s">
        <v>340</v>
      </c>
      <c r="I25" s="230">
        <v>7</v>
      </c>
      <c r="J25" s="230">
        <v>1645</v>
      </c>
      <c r="K25" s="230"/>
      <c r="L25" s="230"/>
    </row>
    <row r="26" spans="1:12" x14ac:dyDescent="0.25">
      <c r="A26" s="111" t="s">
        <v>247</v>
      </c>
      <c r="B26" s="228">
        <v>2026</v>
      </c>
      <c r="C26" s="228" t="s">
        <v>248</v>
      </c>
      <c r="D26" s="228" t="s">
        <v>249</v>
      </c>
      <c r="E26" s="228" t="s">
        <v>177</v>
      </c>
      <c r="F26" s="228" t="s">
        <v>298</v>
      </c>
      <c r="G26" s="228" t="s">
        <v>324</v>
      </c>
      <c r="H26" s="228" t="s">
        <v>341</v>
      </c>
      <c r="I26" s="230">
        <v>11</v>
      </c>
      <c r="J26" s="230">
        <v>325</v>
      </c>
      <c r="K26" s="230"/>
      <c r="L26" s="230"/>
    </row>
    <row r="27" spans="1:12" ht="15.75" x14ac:dyDescent="0.25">
      <c r="A27" s="360" t="s">
        <v>277</v>
      </c>
      <c r="B27" s="360"/>
      <c r="C27" s="360"/>
      <c r="D27" s="360"/>
      <c r="E27" s="360"/>
      <c r="F27" s="334"/>
      <c r="G27" s="334"/>
      <c r="H27" s="334"/>
      <c r="I27" s="335">
        <f>SUM(I19:I26)</f>
        <v>108</v>
      </c>
      <c r="J27" s="335">
        <f t="shared" ref="J27:L27" si="1">SUM(J19:J26)</f>
        <v>6410</v>
      </c>
      <c r="K27" s="335">
        <f t="shared" si="1"/>
        <v>646</v>
      </c>
      <c r="L27" s="335">
        <f t="shared" si="1"/>
        <v>311</v>
      </c>
    </row>
    <row r="28" spans="1:12" ht="15.75" x14ac:dyDescent="0.25">
      <c r="A28" s="364" t="s">
        <v>274</v>
      </c>
      <c r="B28" s="364"/>
      <c r="C28" s="364"/>
      <c r="D28" s="364"/>
      <c r="E28" s="364"/>
      <c r="F28" s="364"/>
      <c r="G28" s="364"/>
      <c r="H28" s="364"/>
      <c r="I28" s="364"/>
      <c r="J28" s="364"/>
      <c r="K28" s="364"/>
      <c r="L28" s="364"/>
    </row>
    <row r="29" spans="1:12" x14ac:dyDescent="0.25">
      <c r="A29" s="111" t="s">
        <v>156</v>
      </c>
      <c r="B29" s="228">
        <v>2026</v>
      </c>
      <c r="C29" s="228" t="s">
        <v>167</v>
      </c>
      <c r="D29" s="228" t="s">
        <v>180</v>
      </c>
      <c r="E29" s="228" t="s">
        <v>177</v>
      </c>
      <c r="F29" s="228" t="s">
        <v>290</v>
      </c>
      <c r="G29" s="228" t="s">
        <v>13</v>
      </c>
      <c r="H29" s="228" t="s">
        <v>342</v>
      </c>
      <c r="I29" s="230">
        <v>25</v>
      </c>
      <c r="J29" s="230">
        <v>15640</v>
      </c>
      <c r="K29" s="230"/>
      <c r="L29" s="230"/>
    </row>
    <row r="30" spans="1:12" x14ac:dyDescent="0.25">
      <c r="A30" s="111" t="s">
        <v>157</v>
      </c>
      <c r="B30" s="228">
        <v>2026</v>
      </c>
      <c r="C30" s="228" t="s">
        <v>168</v>
      </c>
      <c r="D30" s="228" t="s">
        <v>181</v>
      </c>
      <c r="E30" s="228" t="s">
        <v>177</v>
      </c>
      <c r="F30" s="228" t="s">
        <v>291</v>
      </c>
      <c r="G30" s="228" t="s">
        <v>16</v>
      </c>
      <c r="H30" s="228" t="s">
        <v>343</v>
      </c>
      <c r="I30" s="230">
        <v>4</v>
      </c>
      <c r="J30" s="230">
        <v>3200</v>
      </c>
      <c r="K30" s="230">
        <v>1795</v>
      </c>
      <c r="L30" s="230">
        <v>1642</v>
      </c>
    </row>
    <row r="31" spans="1:12" x14ac:dyDescent="0.25">
      <c r="A31" s="111" t="s">
        <v>119</v>
      </c>
      <c r="B31" s="228">
        <v>2025</v>
      </c>
      <c r="C31" s="228" t="s">
        <v>125</v>
      </c>
      <c r="D31" s="228" t="s">
        <v>126</v>
      </c>
      <c r="E31" s="228" t="s">
        <v>145</v>
      </c>
      <c r="F31" s="228" t="s">
        <v>290</v>
      </c>
      <c r="G31" s="228" t="s">
        <v>13</v>
      </c>
      <c r="H31" s="228" t="s">
        <v>350</v>
      </c>
      <c r="I31" s="230">
        <v>2</v>
      </c>
      <c r="J31" s="230">
        <v>1004</v>
      </c>
      <c r="K31" s="230">
        <v>1004</v>
      </c>
      <c r="L31" s="230">
        <v>664</v>
      </c>
    </row>
    <row r="32" spans="1:12" x14ac:dyDescent="0.25">
      <c r="A32" s="111" t="s">
        <v>52</v>
      </c>
      <c r="B32" s="228">
        <v>2025</v>
      </c>
      <c r="C32" s="228" t="s">
        <v>127</v>
      </c>
      <c r="D32" s="228" t="s">
        <v>128</v>
      </c>
      <c r="E32" s="228" t="s">
        <v>146</v>
      </c>
      <c r="F32" s="228" t="s">
        <v>297</v>
      </c>
      <c r="G32" s="228" t="s">
        <v>14</v>
      </c>
      <c r="H32" s="228" t="s">
        <v>9</v>
      </c>
      <c r="I32" s="230">
        <v>1</v>
      </c>
      <c r="J32" s="230">
        <v>377</v>
      </c>
      <c r="K32" s="230">
        <v>100</v>
      </c>
      <c r="L32" s="230">
        <v>69</v>
      </c>
    </row>
    <row r="33" spans="1:12" x14ac:dyDescent="0.25">
      <c r="A33" s="111" t="s">
        <v>54</v>
      </c>
      <c r="B33" s="228">
        <v>2025</v>
      </c>
      <c r="C33" s="228" t="s">
        <v>129</v>
      </c>
      <c r="D33" s="228" t="s">
        <v>130</v>
      </c>
      <c r="E33" s="228" t="s">
        <v>145</v>
      </c>
      <c r="F33" s="228" t="s">
        <v>326</v>
      </c>
      <c r="G33" s="228" t="s">
        <v>37</v>
      </c>
      <c r="H33" s="228" t="s">
        <v>350</v>
      </c>
      <c r="I33" s="230">
        <v>6</v>
      </c>
      <c r="J33" s="230">
        <v>6000</v>
      </c>
      <c r="K33" s="230">
        <v>7403</v>
      </c>
      <c r="L33" s="230">
        <v>2094</v>
      </c>
    </row>
    <row r="34" spans="1:12" x14ac:dyDescent="0.25">
      <c r="A34" s="111" t="s">
        <v>53</v>
      </c>
      <c r="B34" s="228">
        <v>2025</v>
      </c>
      <c r="C34" s="228" t="s">
        <v>140</v>
      </c>
      <c r="D34" s="228" t="s">
        <v>131</v>
      </c>
      <c r="E34" s="228" t="s">
        <v>145</v>
      </c>
      <c r="F34" s="228" t="s">
        <v>294</v>
      </c>
      <c r="G34" s="228" t="s">
        <v>314</v>
      </c>
      <c r="H34" s="228" t="s">
        <v>351</v>
      </c>
      <c r="I34" s="230">
        <v>140</v>
      </c>
      <c r="J34" s="230">
        <v>4040</v>
      </c>
      <c r="K34" s="230">
        <v>3479</v>
      </c>
      <c r="L34" s="230">
        <v>2737</v>
      </c>
    </row>
    <row r="35" spans="1:12" x14ac:dyDescent="0.25">
      <c r="A35" s="111" t="s">
        <v>118</v>
      </c>
      <c r="B35" s="228">
        <v>2025</v>
      </c>
      <c r="C35" s="228" t="s">
        <v>125</v>
      </c>
      <c r="D35" s="228" t="s">
        <v>134</v>
      </c>
      <c r="E35" s="228" t="s">
        <v>146</v>
      </c>
      <c r="F35" s="228" t="s">
        <v>288</v>
      </c>
      <c r="G35" s="228" t="s">
        <v>30</v>
      </c>
      <c r="H35" s="228" t="s">
        <v>29</v>
      </c>
      <c r="I35" s="230">
        <v>2</v>
      </c>
      <c r="J35" s="230">
        <v>45</v>
      </c>
      <c r="K35" s="230">
        <v>45</v>
      </c>
      <c r="L35" s="230">
        <v>45</v>
      </c>
    </row>
    <row r="36" spans="1:12" x14ac:dyDescent="0.25">
      <c r="A36" s="111" t="s">
        <v>56</v>
      </c>
      <c r="B36" s="228">
        <v>2025</v>
      </c>
      <c r="C36" s="228" t="s">
        <v>135</v>
      </c>
      <c r="D36" s="228" t="s">
        <v>136</v>
      </c>
      <c r="E36" s="228" t="s">
        <v>145</v>
      </c>
      <c r="F36" s="228" t="s">
        <v>300</v>
      </c>
      <c r="G36" s="228" t="s">
        <v>363</v>
      </c>
      <c r="H36" s="228" t="s">
        <v>350</v>
      </c>
      <c r="I36" s="230">
        <v>2</v>
      </c>
      <c r="J36" s="230">
        <v>193</v>
      </c>
      <c r="K36" s="230">
        <v>193</v>
      </c>
      <c r="L36" s="230">
        <v>193</v>
      </c>
    </row>
    <row r="37" spans="1:12" x14ac:dyDescent="0.25">
      <c r="A37" s="111" t="s">
        <v>119</v>
      </c>
      <c r="B37" s="228">
        <v>2024</v>
      </c>
      <c r="C37" s="228" t="s">
        <v>125</v>
      </c>
      <c r="D37" s="228" t="s">
        <v>126</v>
      </c>
      <c r="E37" s="228" t="s">
        <v>145</v>
      </c>
      <c r="F37" s="228" t="s">
        <v>290</v>
      </c>
      <c r="G37" s="228" t="s">
        <v>13</v>
      </c>
      <c r="H37" s="228" t="s">
        <v>350</v>
      </c>
      <c r="I37" s="230">
        <v>12</v>
      </c>
      <c r="J37" s="230">
        <v>1917</v>
      </c>
      <c r="K37" s="230">
        <v>1917</v>
      </c>
      <c r="L37" s="230">
        <v>1917</v>
      </c>
    </row>
    <row r="38" spans="1:12" x14ac:dyDescent="0.25">
      <c r="A38" s="111" t="s">
        <v>52</v>
      </c>
      <c r="B38" s="228">
        <v>2024</v>
      </c>
      <c r="C38" s="228" t="s">
        <v>127</v>
      </c>
      <c r="D38" s="228" t="s">
        <v>128</v>
      </c>
      <c r="E38" s="228" t="s">
        <v>146</v>
      </c>
      <c r="F38" s="228" t="s">
        <v>297</v>
      </c>
      <c r="G38" s="228" t="s">
        <v>14</v>
      </c>
      <c r="H38" s="228" t="s">
        <v>9</v>
      </c>
      <c r="I38" s="230">
        <v>2</v>
      </c>
      <c r="J38" s="230">
        <v>919</v>
      </c>
      <c r="K38" s="230">
        <v>243</v>
      </c>
      <c r="L38" s="230">
        <v>160</v>
      </c>
    </row>
    <row r="39" spans="1:12" x14ac:dyDescent="0.25">
      <c r="A39" s="111" t="s">
        <v>54</v>
      </c>
      <c r="B39" s="228">
        <v>2024</v>
      </c>
      <c r="C39" s="228" t="s">
        <v>129</v>
      </c>
      <c r="D39" s="228" t="s">
        <v>130</v>
      </c>
      <c r="E39" s="228" t="s">
        <v>145</v>
      </c>
      <c r="F39" s="228" t="s">
        <v>326</v>
      </c>
      <c r="G39" s="228" t="s">
        <v>37</v>
      </c>
      <c r="H39" s="228" t="s">
        <v>350</v>
      </c>
      <c r="I39" s="230">
        <v>6</v>
      </c>
      <c r="J39" s="230">
        <v>8000</v>
      </c>
      <c r="K39" s="230">
        <v>3840</v>
      </c>
      <c r="L39" s="230">
        <v>1692</v>
      </c>
    </row>
    <row r="40" spans="1:12" x14ac:dyDescent="0.25">
      <c r="A40" s="111" t="s">
        <v>56</v>
      </c>
      <c r="B40" s="228">
        <v>2024</v>
      </c>
      <c r="C40" s="228" t="s">
        <v>135</v>
      </c>
      <c r="D40" s="228" t="s">
        <v>136</v>
      </c>
      <c r="E40" s="228" t="s">
        <v>145</v>
      </c>
      <c r="F40" s="228" t="s">
        <v>300</v>
      </c>
      <c r="G40" s="228" t="s">
        <v>363</v>
      </c>
      <c r="H40" s="228" t="s">
        <v>350</v>
      </c>
      <c r="I40" s="230">
        <v>2</v>
      </c>
      <c r="J40" s="230">
        <v>528</v>
      </c>
      <c r="K40" s="230">
        <v>712</v>
      </c>
      <c r="L40" s="230">
        <v>409</v>
      </c>
    </row>
    <row r="41" spans="1:12" x14ac:dyDescent="0.25">
      <c r="A41" s="111" t="s">
        <v>58</v>
      </c>
      <c r="B41" s="228">
        <v>2024</v>
      </c>
      <c r="C41" s="228" t="s">
        <v>137</v>
      </c>
      <c r="D41" s="228" t="s">
        <v>138</v>
      </c>
      <c r="E41" s="228" t="s">
        <v>146</v>
      </c>
      <c r="F41" s="228" t="s">
        <v>300</v>
      </c>
      <c r="G41" s="228" t="s">
        <v>27</v>
      </c>
      <c r="H41" s="228" t="s">
        <v>352</v>
      </c>
      <c r="I41" s="230">
        <v>4</v>
      </c>
      <c r="J41" s="230">
        <v>400</v>
      </c>
      <c r="K41" s="230">
        <v>615</v>
      </c>
      <c r="L41" s="230">
        <v>146</v>
      </c>
    </row>
    <row r="42" spans="1:12" x14ac:dyDescent="0.25">
      <c r="A42" s="111" t="s">
        <v>117</v>
      </c>
      <c r="B42" s="228">
        <v>2024</v>
      </c>
      <c r="C42" s="228" t="s">
        <v>125</v>
      </c>
      <c r="D42" s="228" t="s">
        <v>134</v>
      </c>
      <c r="E42" s="228" t="s">
        <v>146</v>
      </c>
      <c r="F42" s="228" t="s">
        <v>288</v>
      </c>
      <c r="G42" s="228" t="s">
        <v>30</v>
      </c>
      <c r="H42" s="228" t="s">
        <v>29</v>
      </c>
      <c r="I42" s="230">
        <v>2</v>
      </c>
      <c r="J42" s="230">
        <v>450</v>
      </c>
      <c r="K42" s="230">
        <v>534</v>
      </c>
      <c r="L42" s="230">
        <v>572</v>
      </c>
    </row>
    <row r="43" spans="1:12" x14ac:dyDescent="0.25">
      <c r="A43" s="111" t="s">
        <v>53</v>
      </c>
      <c r="B43" s="228">
        <v>2024</v>
      </c>
      <c r="C43" s="228" t="s">
        <v>140</v>
      </c>
      <c r="D43" s="228" t="s">
        <v>131</v>
      </c>
      <c r="E43" s="228" t="s">
        <v>145</v>
      </c>
      <c r="F43" s="228" t="s">
        <v>294</v>
      </c>
      <c r="G43" s="228" t="s">
        <v>314</v>
      </c>
      <c r="H43" s="228" t="s">
        <v>351</v>
      </c>
      <c r="I43" s="230">
        <v>39</v>
      </c>
      <c r="J43" s="230">
        <v>1560</v>
      </c>
      <c r="K43" s="230">
        <v>499</v>
      </c>
      <c r="L43" s="230">
        <v>372</v>
      </c>
    </row>
    <row r="44" spans="1:12" x14ac:dyDescent="0.25">
      <c r="A44" s="111" t="s">
        <v>119</v>
      </c>
      <c r="B44" s="228">
        <v>2023</v>
      </c>
      <c r="C44" s="228" t="s">
        <v>125</v>
      </c>
      <c r="D44" s="228" t="s">
        <v>126</v>
      </c>
      <c r="E44" s="228" t="s">
        <v>145</v>
      </c>
      <c r="F44" s="228" t="s">
        <v>290</v>
      </c>
      <c r="G44" s="228" t="s">
        <v>13</v>
      </c>
      <c r="H44" s="228" t="s">
        <v>350</v>
      </c>
      <c r="I44" s="230">
        <v>5</v>
      </c>
      <c r="J44" s="230">
        <v>1570</v>
      </c>
      <c r="K44" s="230">
        <v>2172</v>
      </c>
      <c r="L44" s="230">
        <v>642</v>
      </c>
    </row>
    <row r="45" spans="1:12" x14ac:dyDescent="0.25">
      <c r="A45" s="111" t="s">
        <v>86</v>
      </c>
      <c r="B45" s="228">
        <v>2023</v>
      </c>
      <c r="C45" s="228" t="s">
        <v>137</v>
      </c>
      <c r="D45" s="228" t="s">
        <v>138</v>
      </c>
      <c r="E45" s="228" t="s">
        <v>146</v>
      </c>
      <c r="F45" s="228" t="s">
        <v>300</v>
      </c>
      <c r="G45" s="228" t="s">
        <v>27</v>
      </c>
      <c r="H45" s="228" t="s">
        <v>352</v>
      </c>
      <c r="I45" s="230">
        <v>2</v>
      </c>
      <c r="J45" s="230">
        <v>400</v>
      </c>
      <c r="K45" s="230">
        <v>206</v>
      </c>
      <c r="L45" s="230">
        <v>136</v>
      </c>
    </row>
    <row r="46" spans="1:12" x14ac:dyDescent="0.25">
      <c r="A46" s="111" t="s">
        <v>52</v>
      </c>
      <c r="B46" s="228">
        <v>2023</v>
      </c>
      <c r="C46" s="228" t="s">
        <v>127</v>
      </c>
      <c r="D46" s="228" t="s">
        <v>128</v>
      </c>
      <c r="E46" s="228" t="s">
        <v>146</v>
      </c>
      <c r="F46" s="228" t="s">
        <v>297</v>
      </c>
      <c r="G46" s="228" t="s">
        <v>14</v>
      </c>
      <c r="H46" s="228" t="s">
        <v>9</v>
      </c>
      <c r="I46" s="230">
        <v>4</v>
      </c>
      <c r="J46" s="230">
        <v>728</v>
      </c>
      <c r="K46" s="230">
        <v>191</v>
      </c>
      <c r="L46" s="230">
        <v>119</v>
      </c>
    </row>
    <row r="47" spans="1:12" x14ac:dyDescent="0.25">
      <c r="A47" s="111" t="s">
        <v>56</v>
      </c>
      <c r="B47" s="228">
        <v>2023</v>
      </c>
      <c r="C47" s="228" t="s">
        <v>135</v>
      </c>
      <c r="D47" s="228" t="s">
        <v>136</v>
      </c>
      <c r="E47" s="228" t="s">
        <v>145</v>
      </c>
      <c r="F47" s="228" t="s">
        <v>300</v>
      </c>
      <c r="G47" s="228" t="s">
        <v>363</v>
      </c>
      <c r="H47" s="228" t="s">
        <v>350</v>
      </c>
      <c r="I47" s="230">
        <v>2</v>
      </c>
      <c r="J47" s="230">
        <v>1102</v>
      </c>
      <c r="K47" s="230">
        <v>1102</v>
      </c>
      <c r="L47" s="230">
        <v>769</v>
      </c>
    </row>
    <row r="48" spans="1:12" x14ac:dyDescent="0.25">
      <c r="A48" s="111" t="s">
        <v>88</v>
      </c>
      <c r="B48" s="228">
        <v>2023</v>
      </c>
      <c r="C48" s="228" t="s">
        <v>125</v>
      </c>
      <c r="D48" s="228" t="s">
        <v>134</v>
      </c>
      <c r="E48" s="228" t="s">
        <v>146</v>
      </c>
      <c r="F48" s="228" t="s">
        <v>288</v>
      </c>
      <c r="G48" s="228" t="s">
        <v>30</v>
      </c>
      <c r="H48" s="228" t="s">
        <v>29</v>
      </c>
      <c r="I48" s="230">
        <v>2</v>
      </c>
      <c r="J48" s="230">
        <v>380</v>
      </c>
      <c r="K48" s="230">
        <v>378</v>
      </c>
      <c r="L48" s="230">
        <v>228</v>
      </c>
    </row>
    <row r="49" spans="1:12" x14ac:dyDescent="0.25">
      <c r="A49" s="111" t="s">
        <v>89</v>
      </c>
      <c r="B49" s="228">
        <v>2023</v>
      </c>
      <c r="C49" s="228" t="s">
        <v>267</v>
      </c>
      <c r="D49" s="228" t="s">
        <v>268</v>
      </c>
      <c r="E49" s="321" t="s">
        <v>283</v>
      </c>
      <c r="F49" s="321" t="s">
        <v>292</v>
      </c>
      <c r="G49" s="321" t="s">
        <v>308</v>
      </c>
      <c r="H49" s="321" t="s">
        <v>350</v>
      </c>
      <c r="I49" s="230">
        <v>1</v>
      </c>
      <c r="J49" s="230">
        <v>80</v>
      </c>
      <c r="K49" s="230">
        <v>80</v>
      </c>
      <c r="L49" s="230">
        <v>33</v>
      </c>
    </row>
    <row r="50" spans="1:12" x14ac:dyDescent="0.25">
      <c r="A50" s="111" t="s">
        <v>54</v>
      </c>
      <c r="B50" s="228">
        <v>2023</v>
      </c>
      <c r="C50" s="228" t="s">
        <v>129</v>
      </c>
      <c r="D50" s="228" t="s">
        <v>130</v>
      </c>
      <c r="E50" s="228" t="s">
        <v>145</v>
      </c>
      <c r="F50" s="228" t="s">
        <v>326</v>
      </c>
      <c r="G50" s="228" t="s">
        <v>37</v>
      </c>
      <c r="H50" s="228" t="s">
        <v>350</v>
      </c>
      <c r="I50" s="230">
        <v>2</v>
      </c>
      <c r="J50" s="230">
        <v>402</v>
      </c>
      <c r="K50" s="230">
        <v>402</v>
      </c>
      <c r="L50" s="230">
        <v>402</v>
      </c>
    </row>
    <row r="51" spans="1:12" ht="15.75" x14ac:dyDescent="0.25">
      <c r="A51" s="360" t="s">
        <v>277</v>
      </c>
      <c r="B51" s="360"/>
      <c r="C51" s="360"/>
      <c r="D51" s="360"/>
      <c r="E51" s="360"/>
      <c r="F51" s="334"/>
      <c r="G51" s="334"/>
      <c r="H51" s="334"/>
      <c r="I51" s="335">
        <f>SUM(I29:I50)</f>
        <v>267</v>
      </c>
      <c r="J51" s="335">
        <f t="shared" ref="J51:L51" si="2">SUM(J29:J50)</f>
        <v>48935</v>
      </c>
      <c r="K51" s="335">
        <f t="shared" si="2"/>
        <v>26910</v>
      </c>
      <c r="L51" s="335">
        <f t="shared" si="2"/>
        <v>15041</v>
      </c>
    </row>
    <row r="52" spans="1:12" ht="15.75" x14ac:dyDescent="0.25">
      <c r="A52" s="364" t="s">
        <v>275</v>
      </c>
      <c r="B52" s="364"/>
      <c r="C52" s="364"/>
      <c r="D52" s="364"/>
      <c r="E52" s="364"/>
      <c r="F52" s="364"/>
      <c r="G52" s="364"/>
      <c r="H52" s="364"/>
      <c r="I52" s="364"/>
      <c r="J52" s="364"/>
      <c r="K52" s="364"/>
      <c r="L52" s="364"/>
    </row>
    <row r="53" spans="1:12" x14ac:dyDescent="0.25">
      <c r="A53" s="111" t="s">
        <v>162</v>
      </c>
      <c r="B53" s="228">
        <v>2026</v>
      </c>
      <c r="C53" s="228" t="s">
        <v>173</v>
      </c>
      <c r="D53" s="228" t="s">
        <v>186</v>
      </c>
      <c r="E53" s="228" t="s">
        <v>175</v>
      </c>
      <c r="F53" s="228" t="s">
        <v>287</v>
      </c>
      <c r="G53" s="228" t="s">
        <v>303</v>
      </c>
      <c r="H53" s="228" t="s">
        <v>360</v>
      </c>
      <c r="I53" s="230">
        <v>3</v>
      </c>
      <c r="J53" s="230">
        <v>1640</v>
      </c>
      <c r="K53" s="230"/>
      <c r="L53" s="230"/>
    </row>
    <row r="54" spans="1:12" x14ac:dyDescent="0.25">
      <c r="A54" s="111" t="s">
        <v>188</v>
      </c>
      <c r="B54" s="228">
        <v>2026</v>
      </c>
      <c r="C54" s="228" t="s">
        <v>189</v>
      </c>
      <c r="D54" s="228" t="s">
        <v>190</v>
      </c>
      <c r="E54" s="228" t="s">
        <v>175</v>
      </c>
      <c r="F54" s="228" t="s">
        <v>287</v>
      </c>
      <c r="G54" s="228" t="s">
        <v>303</v>
      </c>
      <c r="H54" s="228" t="s">
        <v>360</v>
      </c>
      <c r="I54" s="230">
        <v>2</v>
      </c>
      <c r="J54" s="230">
        <v>1640</v>
      </c>
      <c r="K54" s="230"/>
      <c r="L54" s="230"/>
    </row>
    <row r="55" spans="1:12" x14ac:dyDescent="0.25">
      <c r="A55" s="111" t="s">
        <v>55</v>
      </c>
      <c r="B55" s="228">
        <v>2025</v>
      </c>
      <c r="C55" s="228" t="s">
        <v>132</v>
      </c>
      <c r="D55" s="228" t="s">
        <v>150</v>
      </c>
      <c r="E55" s="321" t="s">
        <v>283</v>
      </c>
      <c r="F55" s="321" t="s">
        <v>294</v>
      </c>
      <c r="G55" s="321" t="s">
        <v>314</v>
      </c>
      <c r="H55" s="321" t="s">
        <v>350</v>
      </c>
      <c r="I55" s="230">
        <v>49</v>
      </c>
      <c r="J55" s="230">
        <v>3731</v>
      </c>
      <c r="K55" s="230">
        <v>1371</v>
      </c>
      <c r="L55" s="230">
        <v>1122</v>
      </c>
    </row>
    <row r="56" spans="1:12" x14ac:dyDescent="0.25">
      <c r="A56" s="111" t="s">
        <v>59</v>
      </c>
      <c r="B56" s="228">
        <v>2024</v>
      </c>
      <c r="C56" s="228" t="s">
        <v>132</v>
      </c>
      <c r="D56" s="228" t="s">
        <v>150</v>
      </c>
      <c r="E56" s="321" t="s">
        <v>283</v>
      </c>
      <c r="F56" s="321" t="s">
        <v>294</v>
      </c>
      <c r="G56" s="321" t="s">
        <v>314</v>
      </c>
      <c r="H56" s="321" t="s">
        <v>350</v>
      </c>
      <c r="I56" s="230">
        <v>47</v>
      </c>
      <c r="J56" s="230">
        <v>804</v>
      </c>
      <c r="K56" s="230">
        <v>307</v>
      </c>
      <c r="L56" s="230">
        <v>179</v>
      </c>
    </row>
    <row r="57" spans="1:12" x14ac:dyDescent="0.25">
      <c r="A57" s="111" t="s">
        <v>73</v>
      </c>
      <c r="B57" s="228">
        <v>2024</v>
      </c>
      <c r="C57" s="228" t="s">
        <v>132</v>
      </c>
      <c r="D57" s="228" t="s">
        <v>133</v>
      </c>
      <c r="E57" s="321" t="s">
        <v>283</v>
      </c>
      <c r="F57" s="321" t="s">
        <v>301</v>
      </c>
      <c r="G57" s="321" t="s">
        <v>328</v>
      </c>
      <c r="H57" s="321" t="s">
        <v>354</v>
      </c>
      <c r="I57" s="230">
        <v>5</v>
      </c>
      <c r="J57" s="230">
        <v>1570</v>
      </c>
      <c r="K57" s="230">
        <v>771</v>
      </c>
      <c r="L57" s="230">
        <v>391</v>
      </c>
    </row>
    <row r="58" spans="1:12" x14ac:dyDescent="0.25">
      <c r="A58" s="111" t="s">
        <v>57</v>
      </c>
      <c r="B58" s="228">
        <v>2023</v>
      </c>
      <c r="C58" s="228" t="s">
        <v>132</v>
      </c>
      <c r="D58" s="228" t="s">
        <v>133</v>
      </c>
      <c r="E58" s="321" t="s">
        <v>283</v>
      </c>
      <c r="F58" s="321" t="s">
        <v>301</v>
      </c>
      <c r="G58" s="321" t="s">
        <v>328</v>
      </c>
      <c r="H58" s="321" t="s">
        <v>353</v>
      </c>
      <c r="I58" s="230">
        <v>5</v>
      </c>
      <c r="J58" s="230">
        <v>4672</v>
      </c>
      <c r="K58" s="230">
        <v>1965</v>
      </c>
      <c r="L58" s="230">
        <v>939</v>
      </c>
    </row>
    <row r="59" spans="1:12" x14ac:dyDescent="0.25">
      <c r="A59" s="111" t="s">
        <v>85</v>
      </c>
      <c r="B59" s="228">
        <v>2023</v>
      </c>
      <c r="C59" s="228" t="s">
        <v>143</v>
      </c>
      <c r="D59" s="228" t="s">
        <v>144</v>
      </c>
      <c r="E59" s="321" t="s">
        <v>283</v>
      </c>
      <c r="F59" s="321" t="s">
        <v>302</v>
      </c>
      <c r="G59" s="321" t="s">
        <v>329</v>
      </c>
      <c r="H59" s="321" t="s">
        <v>355</v>
      </c>
      <c r="I59" s="230">
        <v>4</v>
      </c>
      <c r="J59" s="230">
        <v>2261</v>
      </c>
      <c r="K59" s="230">
        <v>1622</v>
      </c>
      <c r="L59" s="230">
        <v>454</v>
      </c>
    </row>
    <row r="60" spans="1:12" x14ac:dyDescent="0.25">
      <c r="A60" s="111" t="s">
        <v>76</v>
      </c>
      <c r="B60" s="228">
        <v>2023</v>
      </c>
      <c r="C60" s="228"/>
      <c r="D60" s="228"/>
      <c r="E60" s="321" t="s">
        <v>283</v>
      </c>
      <c r="F60" s="321" t="s">
        <v>294</v>
      </c>
      <c r="G60" s="321" t="s">
        <v>24</v>
      </c>
      <c r="H60" s="321" t="s">
        <v>24</v>
      </c>
      <c r="I60" s="230">
        <v>4</v>
      </c>
      <c r="J60" s="230">
        <v>100</v>
      </c>
      <c r="K60" s="230">
        <v>70</v>
      </c>
      <c r="L60" s="230">
        <v>55</v>
      </c>
    </row>
    <row r="61" spans="1:12" ht="15.75" x14ac:dyDescent="0.25">
      <c r="A61" s="360" t="s">
        <v>277</v>
      </c>
      <c r="B61" s="360"/>
      <c r="C61" s="360"/>
      <c r="D61" s="360"/>
      <c r="E61" s="360"/>
      <c r="F61" s="334"/>
      <c r="G61" s="334"/>
      <c r="H61" s="334"/>
      <c r="I61" s="335">
        <f>SUM(I53:I60)</f>
        <v>119</v>
      </c>
      <c r="J61" s="335">
        <f t="shared" ref="J61:L61" si="3">SUM(J53:J60)</f>
        <v>16418</v>
      </c>
      <c r="K61" s="335">
        <f t="shared" si="3"/>
        <v>6106</v>
      </c>
      <c r="L61" s="335">
        <f t="shared" si="3"/>
        <v>3140</v>
      </c>
    </row>
    <row r="62" spans="1:12" ht="15.75" x14ac:dyDescent="0.25">
      <c r="A62" s="364" t="s">
        <v>276</v>
      </c>
      <c r="B62" s="364"/>
      <c r="C62" s="364"/>
      <c r="D62" s="364"/>
      <c r="E62" s="364"/>
      <c r="F62" s="364"/>
      <c r="G62" s="364"/>
      <c r="H62" s="364"/>
      <c r="I62" s="364"/>
      <c r="J62" s="364"/>
      <c r="K62" s="364"/>
      <c r="L62" s="364"/>
    </row>
    <row r="63" spans="1:12" x14ac:dyDescent="0.25">
      <c r="A63" s="111" t="s">
        <v>152</v>
      </c>
      <c r="B63" s="228">
        <v>2026</v>
      </c>
      <c r="C63" s="228" t="s">
        <v>163</v>
      </c>
      <c r="D63" s="228" t="s">
        <v>174</v>
      </c>
      <c r="E63" s="228" t="s">
        <v>175</v>
      </c>
      <c r="F63" s="228" t="s">
        <v>287</v>
      </c>
      <c r="G63" s="228" t="s">
        <v>303</v>
      </c>
      <c r="H63" s="228" t="s">
        <v>344</v>
      </c>
      <c r="I63" s="230">
        <v>4</v>
      </c>
      <c r="J63" s="230">
        <v>400</v>
      </c>
      <c r="K63" s="230"/>
      <c r="L63" s="230"/>
    </row>
    <row r="64" spans="1:12" x14ac:dyDescent="0.25">
      <c r="A64" s="111" t="s">
        <v>153</v>
      </c>
      <c r="B64" s="228">
        <v>2026</v>
      </c>
      <c r="C64" s="228" t="s">
        <v>164</v>
      </c>
      <c r="D64" s="228" t="s">
        <v>176</v>
      </c>
      <c r="E64" s="228" t="s">
        <v>177</v>
      </c>
      <c r="F64" s="228" t="s">
        <v>288</v>
      </c>
      <c r="G64" s="228" t="s">
        <v>32</v>
      </c>
      <c r="H64" s="228" t="s">
        <v>345</v>
      </c>
      <c r="I64" s="230">
        <v>1</v>
      </c>
      <c r="J64" s="230">
        <v>300</v>
      </c>
      <c r="K64" s="230"/>
      <c r="L64" s="230"/>
    </row>
    <row r="65" spans="1:12" x14ac:dyDescent="0.25">
      <c r="A65" s="111" t="s">
        <v>155</v>
      </c>
      <c r="B65" s="228">
        <v>2026</v>
      </c>
      <c r="C65" s="228" t="s">
        <v>166</v>
      </c>
      <c r="D65" s="228" t="s">
        <v>179</v>
      </c>
      <c r="E65" s="228" t="s">
        <v>177</v>
      </c>
      <c r="F65" s="228" t="s">
        <v>288</v>
      </c>
      <c r="G65" s="228" t="s">
        <v>32</v>
      </c>
      <c r="H65" s="228" t="s">
        <v>346</v>
      </c>
      <c r="I65" s="230">
        <v>1</v>
      </c>
      <c r="J65" s="230">
        <v>4800</v>
      </c>
      <c r="K65" s="230"/>
      <c r="L65" s="230"/>
    </row>
    <row r="66" spans="1:12" x14ac:dyDescent="0.25">
      <c r="A66" s="111" t="s">
        <v>158</v>
      </c>
      <c r="B66" s="228">
        <v>2026</v>
      </c>
      <c r="C66" s="228" t="s">
        <v>169</v>
      </c>
      <c r="D66" s="228" t="s">
        <v>182</v>
      </c>
      <c r="E66" s="228" t="s">
        <v>177</v>
      </c>
      <c r="F66" s="228" t="s">
        <v>292</v>
      </c>
      <c r="G66" s="228" t="s">
        <v>308</v>
      </c>
      <c r="H66" s="228" t="s">
        <v>308</v>
      </c>
      <c r="I66" s="230">
        <v>1</v>
      </c>
      <c r="J66" s="230">
        <v>300</v>
      </c>
      <c r="K66" s="230"/>
      <c r="L66" s="230"/>
    </row>
    <row r="67" spans="1:12" x14ac:dyDescent="0.25">
      <c r="A67" s="111" t="s">
        <v>159</v>
      </c>
      <c r="B67" s="228">
        <v>2026</v>
      </c>
      <c r="C67" s="228" t="s">
        <v>170</v>
      </c>
      <c r="D67" s="228" t="s">
        <v>183</v>
      </c>
      <c r="E67" s="228" t="s">
        <v>177</v>
      </c>
      <c r="F67" s="228" t="s">
        <v>290</v>
      </c>
      <c r="G67" s="228" t="s">
        <v>309</v>
      </c>
      <c r="H67" s="228" t="s">
        <v>347</v>
      </c>
      <c r="I67" s="230">
        <v>11</v>
      </c>
      <c r="J67" s="230">
        <v>440</v>
      </c>
      <c r="K67" s="230"/>
      <c r="L67" s="230"/>
    </row>
    <row r="68" spans="1:12" x14ac:dyDescent="0.25">
      <c r="A68" s="111" t="s">
        <v>160</v>
      </c>
      <c r="B68" s="228">
        <v>2026</v>
      </c>
      <c r="C68" s="228" t="s">
        <v>171</v>
      </c>
      <c r="D68" s="228" t="s">
        <v>184</v>
      </c>
      <c r="E68" s="228" t="s">
        <v>177</v>
      </c>
      <c r="F68" s="228" t="s">
        <v>290</v>
      </c>
      <c r="G68" s="228" t="s">
        <v>310</v>
      </c>
      <c r="H68" s="228" t="s">
        <v>348</v>
      </c>
      <c r="I68" s="230">
        <v>6</v>
      </c>
      <c r="J68" s="230">
        <v>180</v>
      </c>
      <c r="K68" s="230"/>
      <c r="L68" s="230"/>
    </row>
    <row r="69" spans="1:12" x14ac:dyDescent="0.25">
      <c r="A69" s="111" t="s">
        <v>161</v>
      </c>
      <c r="B69" s="228">
        <v>2026</v>
      </c>
      <c r="C69" s="228" t="s">
        <v>172</v>
      </c>
      <c r="D69" s="228" t="s">
        <v>185</v>
      </c>
      <c r="E69" s="228" t="s">
        <v>177</v>
      </c>
      <c r="F69" s="228" t="s">
        <v>288</v>
      </c>
      <c r="G69" s="228" t="s">
        <v>32</v>
      </c>
      <c r="H69" s="228" t="s">
        <v>349</v>
      </c>
      <c r="I69" s="230">
        <v>6</v>
      </c>
      <c r="J69" s="230">
        <v>840</v>
      </c>
      <c r="K69" s="230"/>
      <c r="L69" s="230"/>
    </row>
    <row r="70" spans="1:12" x14ac:dyDescent="0.25">
      <c r="A70" s="111" t="s">
        <v>215</v>
      </c>
      <c r="B70" s="228">
        <v>2026</v>
      </c>
      <c r="C70" s="228" t="s">
        <v>216</v>
      </c>
      <c r="D70" s="228" t="s">
        <v>217</v>
      </c>
      <c r="E70" s="228" t="s">
        <v>177</v>
      </c>
      <c r="F70" s="228" t="s">
        <v>291</v>
      </c>
      <c r="G70" s="228" t="s">
        <v>305</v>
      </c>
      <c r="H70" s="228" t="s">
        <v>305</v>
      </c>
      <c r="I70" s="230">
        <v>47</v>
      </c>
      <c r="J70" s="230">
        <v>7380</v>
      </c>
      <c r="K70" s="230"/>
      <c r="L70" s="230"/>
    </row>
    <row r="71" spans="1:12" x14ac:dyDescent="0.25">
      <c r="A71" s="111" t="s">
        <v>253</v>
      </c>
      <c r="B71" s="228">
        <v>2026</v>
      </c>
      <c r="C71" s="228" t="s">
        <v>254</v>
      </c>
      <c r="D71" s="228" t="s">
        <v>255</v>
      </c>
      <c r="E71" s="228" t="s">
        <v>177</v>
      </c>
      <c r="F71" s="228" t="s">
        <v>299</v>
      </c>
      <c r="G71" s="228" t="s">
        <v>325</v>
      </c>
      <c r="H71" s="228" t="s">
        <v>325</v>
      </c>
      <c r="I71" s="230">
        <v>20</v>
      </c>
      <c r="J71" s="230">
        <v>3000</v>
      </c>
      <c r="K71" s="230"/>
      <c r="L71" s="230"/>
    </row>
    <row r="72" spans="1:12" x14ac:dyDescent="0.25">
      <c r="A72" s="111" t="s">
        <v>270</v>
      </c>
      <c r="B72" s="228">
        <v>2023</v>
      </c>
      <c r="C72" s="228" t="s">
        <v>269</v>
      </c>
      <c r="D72" s="228" t="s">
        <v>271</v>
      </c>
      <c r="E72" s="321" t="s">
        <v>283</v>
      </c>
      <c r="F72" s="321" t="s">
        <v>331</v>
      </c>
      <c r="G72" s="321" t="s">
        <v>330</v>
      </c>
      <c r="H72" s="321" t="s">
        <v>350</v>
      </c>
      <c r="I72" s="230">
        <v>1</v>
      </c>
      <c r="J72" s="230">
        <v>100</v>
      </c>
      <c r="K72" s="230">
        <v>14</v>
      </c>
      <c r="L72" s="230">
        <v>14</v>
      </c>
    </row>
    <row r="73" spans="1:12" x14ac:dyDescent="0.25">
      <c r="A73" s="111" t="s">
        <v>372</v>
      </c>
      <c r="B73" s="228">
        <v>2023</v>
      </c>
      <c r="C73" s="228" t="s">
        <v>373</v>
      </c>
      <c r="D73" s="228" t="s">
        <v>374</v>
      </c>
      <c r="E73" s="228"/>
      <c r="F73" s="228" t="s">
        <v>375</v>
      </c>
      <c r="G73" s="228" t="s">
        <v>33</v>
      </c>
      <c r="H73" s="228" t="s">
        <v>350</v>
      </c>
      <c r="I73" s="230"/>
      <c r="J73" s="230">
        <v>94</v>
      </c>
      <c r="K73" s="230">
        <v>94</v>
      </c>
      <c r="L73" s="230">
        <v>94</v>
      </c>
    </row>
    <row r="74" spans="1:12" x14ac:dyDescent="0.25">
      <c r="A74" s="111" t="s">
        <v>117</v>
      </c>
      <c r="B74" s="228">
        <v>2023</v>
      </c>
      <c r="C74" s="228" t="s">
        <v>370</v>
      </c>
      <c r="D74" s="228" t="s">
        <v>371</v>
      </c>
      <c r="E74" s="228" t="s">
        <v>146</v>
      </c>
      <c r="F74" s="228" t="s">
        <v>288</v>
      </c>
      <c r="G74" s="228" t="s">
        <v>30</v>
      </c>
      <c r="H74" s="228" t="s">
        <v>29</v>
      </c>
      <c r="I74" s="230">
        <v>1</v>
      </c>
      <c r="J74" s="230">
        <v>101</v>
      </c>
      <c r="K74" s="230">
        <v>101</v>
      </c>
      <c r="L74" s="230">
        <v>101</v>
      </c>
    </row>
    <row r="75" spans="1:12" ht="15.75" x14ac:dyDescent="0.25">
      <c r="A75" s="360" t="s">
        <v>277</v>
      </c>
      <c r="B75" s="360"/>
      <c r="C75" s="360"/>
      <c r="D75" s="360"/>
      <c r="E75" s="360"/>
      <c r="F75" s="334"/>
      <c r="G75" s="334"/>
      <c r="H75" s="334"/>
      <c r="I75" s="335">
        <f>SUM(I63:I74)</f>
        <v>99</v>
      </c>
      <c r="J75" s="335">
        <f t="shared" ref="J75:L75" si="4">SUM(J63:J74)</f>
        <v>17935</v>
      </c>
      <c r="K75" s="335">
        <f t="shared" si="4"/>
        <v>209</v>
      </c>
      <c r="L75" s="335">
        <f t="shared" si="4"/>
        <v>209</v>
      </c>
    </row>
    <row r="76" spans="1:12" ht="15.75" x14ac:dyDescent="0.25">
      <c r="A76" s="361" t="s">
        <v>96</v>
      </c>
      <c r="B76" s="362"/>
      <c r="C76" s="362"/>
      <c r="D76" s="362"/>
      <c r="E76" s="363"/>
      <c r="F76" s="336"/>
      <c r="G76" s="336"/>
      <c r="H76" s="336"/>
      <c r="I76" s="337">
        <f>I17+I27+I51+I61+I75</f>
        <v>713</v>
      </c>
      <c r="J76" s="337">
        <f t="shared" ref="J76:L76" si="5">J17+J27+J51+J61+J75</f>
        <v>100465</v>
      </c>
      <c r="K76" s="337">
        <f t="shared" si="5"/>
        <v>33871</v>
      </c>
      <c r="L76" s="337">
        <f t="shared" si="5"/>
        <v>18701</v>
      </c>
    </row>
  </sheetData>
  <autoFilter ref="A1:L76" xr:uid="{6AD1252D-F380-407F-BB7D-BD42336D9225}"/>
  <mergeCells count="11">
    <mergeCell ref="A75:E75"/>
    <mergeCell ref="A76:E76"/>
    <mergeCell ref="A61:E61"/>
    <mergeCell ref="A2:L2"/>
    <mergeCell ref="A18:L18"/>
    <mergeCell ref="A28:L28"/>
    <mergeCell ref="A52:L52"/>
    <mergeCell ref="A62:L62"/>
    <mergeCell ref="A17:E17"/>
    <mergeCell ref="A27:E27"/>
    <mergeCell ref="A51:E51"/>
  </mergeCells>
  <pageMargins left="0.511811024" right="0.511811024" top="0.78740157499999996" bottom="0.78740157499999996" header="0.31496062000000002" footer="0.31496062000000002"/>
  <pageSetup scale="3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18E2-79D2-4B08-92B8-67FB58BBFE8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C8BBE-F798-4A52-9A67-F3ABB9D4554E}">
  <dimension ref="A1:B9"/>
  <sheetViews>
    <sheetView workbookViewId="0">
      <selection sqref="A1:B1"/>
    </sheetView>
  </sheetViews>
  <sheetFormatPr defaultRowHeight="15" x14ac:dyDescent="0.25"/>
  <cols>
    <col min="1" max="1" width="15" bestFit="1" customWidth="1"/>
    <col min="2" max="2" width="20.28515625" bestFit="1" customWidth="1"/>
  </cols>
  <sheetData>
    <row r="1" spans="1:2" x14ac:dyDescent="0.25">
      <c r="A1" s="365">
        <v>2023</v>
      </c>
      <c r="B1" s="365"/>
    </row>
    <row r="2" spans="1:2" x14ac:dyDescent="0.25">
      <c r="A2" t="s">
        <v>141</v>
      </c>
      <c r="B2" t="s">
        <v>142</v>
      </c>
    </row>
    <row r="3" spans="1:2" x14ac:dyDescent="0.25">
      <c r="A3" t="s">
        <v>125</v>
      </c>
      <c r="B3" t="s">
        <v>126</v>
      </c>
    </row>
    <row r="4" spans="1:2" x14ac:dyDescent="0.25">
      <c r="A4" t="s">
        <v>132</v>
      </c>
      <c r="B4" t="s">
        <v>133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137</v>
      </c>
      <c r="B6" t="s">
        <v>138</v>
      </c>
    </row>
    <row r="7" spans="1:2" x14ac:dyDescent="0.25">
      <c r="A7" t="s">
        <v>127</v>
      </c>
      <c r="B7" t="s">
        <v>128</v>
      </c>
    </row>
    <row r="8" spans="1:2" x14ac:dyDescent="0.25">
      <c r="A8" t="s">
        <v>135</v>
      </c>
      <c r="B8" t="s">
        <v>136</v>
      </c>
    </row>
    <row r="9" spans="1:2" x14ac:dyDescent="0.25">
      <c r="A9" t="s">
        <v>125</v>
      </c>
      <c r="B9" t="s">
        <v>134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0FA9-7586-4009-8D24-22B92EE341F7}">
  <sheetPr codeName="Planilha3">
    <pageSetUpPr fitToPage="1"/>
  </sheetPr>
  <dimension ref="A1:AF37"/>
  <sheetViews>
    <sheetView topLeftCell="A12" zoomScaleNormal="100" workbookViewId="0">
      <selection activeCell="H33" sqref="H33"/>
    </sheetView>
  </sheetViews>
  <sheetFormatPr defaultRowHeight="15" x14ac:dyDescent="0.25"/>
  <cols>
    <col min="1" max="1" width="15.5703125" bestFit="1" customWidth="1"/>
    <col min="2" max="2" width="27.140625" bestFit="1" customWidth="1"/>
    <col min="3" max="5" width="23.140625" bestFit="1" customWidth="1"/>
    <col min="6" max="6" width="23.140625" customWidth="1"/>
    <col min="7" max="7" width="35.28515625" bestFit="1" customWidth="1"/>
    <col min="31" max="31" width="9.140625" customWidth="1"/>
    <col min="32" max="32" width="0.5703125" hidden="1" customWidth="1"/>
  </cols>
  <sheetData>
    <row r="1" spans="1:32" ht="21.75" thickBot="1" x14ac:dyDescent="0.3">
      <c r="A1" s="366" t="s">
        <v>114</v>
      </c>
      <c r="B1" s="367"/>
      <c r="C1" s="367"/>
      <c r="D1" s="367"/>
      <c r="E1" s="367"/>
      <c r="F1" s="367"/>
      <c r="G1" s="367"/>
      <c r="AF1">
        <v>1</v>
      </c>
    </row>
    <row r="2" spans="1:32" ht="19.5" thickBot="1" x14ac:dyDescent="0.3">
      <c r="A2" s="1" t="s">
        <v>0</v>
      </c>
      <c r="B2" s="1" t="s">
        <v>1</v>
      </c>
      <c r="C2" s="1" t="s">
        <v>90</v>
      </c>
      <c r="D2" s="1" t="s">
        <v>91</v>
      </c>
      <c r="E2" s="1" t="s">
        <v>92</v>
      </c>
      <c r="F2" s="1" t="s">
        <v>105</v>
      </c>
      <c r="G2" s="1" t="s">
        <v>107</v>
      </c>
      <c r="AF2">
        <v>1</v>
      </c>
    </row>
    <row r="3" spans="1:32" ht="18.75" x14ac:dyDescent="0.25">
      <c r="A3" s="4" t="s">
        <v>3</v>
      </c>
      <c r="B3" s="105" t="s">
        <v>4</v>
      </c>
      <c r="C3" s="219">
        <v>78</v>
      </c>
      <c r="D3" s="219">
        <v>0</v>
      </c>
      <c r="E3" s="222">
        <v>14</v>
      </c>
      <c r="F3" s="222"/>
      <c r="G3" s="222">
        <f>SUM(C3:F3)</f>
        <v>92</v>
      </c>
      <c r="H3" s="204"/>
      <c r="AF3">
        <v>1</v>
      </c>
    </row>
    <row r="4" spans="1:32" ht="18.75" x14ac:dyDescent="0.25">
      <c r="A4" s="9" t="s">
        <v>3</v>
      </c>
      <c r="B4" s="106" t="s">
        <v>5</v>
      </c>
      <c r="C4" s="208">
        <v>39</v>
      </c>
      <c r="D4" s="208">
        <v>22</v>
      </c>
      <c r="E4" s="223">
        <v>0</v>
      </c>
      <c r="F4" s="223"/>
      <c r="G4" s="222">
        <f t="shared" ref="G4:G34" si="0">SUM(C4:F4)</f>
        <v>61</v>
      </c>
      <c r="H4" s="204"/>
      <c r="AF4">
        <v>1</v>
      </c>
    </row>
    <row r="5" spans="1:32" ht="18.75" x14ac:dyDescent="0.25">
      <c r="A5" s="9" t="s">
        <v>3</v>
      </c>
      <c r="B5" s="106" t="s">
        <v>6</v>
      </c>
      <c r="C5" s="208">
        <v>136</v>
      </c>
      <c r="D5" s="208">
        <v>0</v>
      </c>
      <c r="E5" s="223">
        <v>12</v>
      </c>
      <c r="F5" s="223"/>
      <c r="G5" s="222">
        <f t="shared" si="0"/>
        <v>148</v>
      </c>
      <c r="H5" s="204"/>
      <c r="AF5">
        <v>1</v>
      </c>
    </row>
    <row r="6" spans="1:32" ht="19.5" thickBot="1" x14ac:dyDescent="0.3">
      <c r="A6" s="12" t="s">
        <v>3</v>
      </c>
      <c r="B6" s="107" t="s">
        <v>7</v>
      </c>
      <c r="C6" s="208">
        <v>87</v>
      </c>
      <c r="D6" s="208">
        <v>22</v>
      </c>
      <c r="E6" s="223">
        <v>25</v>
      </c>
      <c r="F6" s="223"/>
      <c r="G6" s="222">
        <f t="shared" si="0"/>
        <v>134</v>
      </c>
      <c r="H6" s="204"/>
      <c r="AF6">
        <v>1</v>
      </c>
    </row>
    <row r="7" spans="1:32" ht="24.75" thickBot="1" x14ac:dyDescent="0.3">
      <c r="A7" s="16"/>
      <c r="B7" s="217" t="s">
        <v>8</v>
      </c>
      <c r="C7" s="220">
        <f>SUM(C3:C6)</f>
        <v>340</v>
      </c>
      <c r="D7" s="220">
        <f>SUM(D3:D6)</f>
        <v>44</v>
      </c>
      <c r="E7" s="220">
        <f>SUM(E3:E6)</f>
        <v>51</v>
      </c>
      <c r="F7" s="220">
        <f>SUM(F3:F6)</f>
        <v>0</v>
      </c>
      <c r="G7" s="224">
        <f t="shared" si="0"/>
        <v>435</v>
      </c>
      <c r="AF7">
        <v>1</v>
      </c>
    </row>
    <row r="8" spans="1:32" ht="18.75" x14ac:dyDescent="0.25">
      <c r="A8" s="19" t="s">
        <v>9</v>
      </c>
      <c r="B8" s="105" t="s">
        <v>10</v>
      </c>
      <c r="C8" s="208">
        <v>102</v>
      </c>
      <c r="D8" s="208">
        <v>0</v>
      </c>
      <c r="E8" s="223">
        <v>10</v>
      </c>
      <c r="F8" s="223"/>
      <c r="G8" s="222">
        <f t="shared" si="0"/>
        <v>112</v>
      </c>
      <c r="H8" s="204"/>
      <c r="AF8">
        <v>1</v>
      </c>
    </row>
    <row r="9" spans="1:32" ht="18.75" x14ac:dyDescent="0.25">
      <c r="A9" s="20" t="s">
        <v>9</v>
      </c>
      <c r="B9" s="106" t="s">
        <v>11</v>
      </c>
      <c r="C9" s="208">
        <v>266</v>
      </c>
      <c r="D9" s="208">
        <v>0</v>
      </c>
      <c r="E9" s="223">
        <v>9</v>
      </c>
      <c r="F9" s="223"/>
      <c r="G9" s="222">
        <f t="shared" si="0"/>
        <v>275</v>
      </c>
      <c r="H9" s="204"/>
      <c r="AF9">
        <v>1</v>
      </c>
    </row>
    <row r="10" spans="1:32" ht="18.75" x14ac:dyDescent="0.25">
      <c r="A10" s="20" t="s">
        <v>9</v>
      </c>
      <c r="B10" s="106" t="s">
        <v>12</v>
      </c>
      <c r="C10" s="208">
        <v>78</v>
      </c>
      <c r="D10" s="208">
        <v>5</v>
      </c>
      <c r="E10" s="223">
        <v>0</v>
      </c>
      <c r="F10" s="223"/>
      <c r="G10" s="222">
        <f t="shared" si="0"/>
        <v>83</v>
      </c>
      <c r="H10" s="204"/>
      <c r="AF10">
        <v>1</v>
      </c>
    </row>
    <row r="11" spans="1:32" ht="18.75" x14ac:dyDescent="0.25">
      <c r="A11" s="20" t="s">
        <v>9</v>
      </c>
      <c r="B11" s="106" t="s">
        <v>13</v>
      </c>
      <c r="C11" s="208">
        <v>73</v>
      </c>
      <c r="D11" s="208">
        <v>1962</v>
      </c>
      <c r="E11" s="223">
        <v>672</v>
      </c>
      <c r="F11" s="223"/>
      <c r="G11" s="222">
        <f t="shared" si="0"/>
        <v>2707</v>
      </c>
      <c r="H11" s="204"/>
      <c r="AF11">
        <v>1</v>
      </c>
    </row>
    <row r="12" spans="1:32" ht="18.75" x14ac:dyDescent="0.25">
      <c r="A12" s="20" t="s">
        <v>9</v>
      </c>
      <c r="B12" s="106" t="s">
        <v>14</v>
      </c>
      <c r="C12" s="208">
        <v>76</v>
      </c>
      <c r="D12" s="208">
        <v>160</v>
      </c>
      <c r="E12" s="223">
        <v>69</v>
      </c>
      <c r="F12" s="223"/>
      <c r="G12" s="222">
        <f>SUM(C12:F12)</f>
        <v>305</v>
      </c>
      <c r="H12" s="204"/>
      <c r="AF12">
        <v>1</v>
      </c>
    </row>
    <row r="13" spans="1:32" ht="18.75" x14ac:dyDescent="0.25">
      <c r="A13" s="20" t="s">
        <v>9</v>
      </c>
      <c r="B13" s="106" t="s">
        <v>15</v>
      </c>
      <c r="C13" s="208">
        <v>137</v>
      </c>
      <c r="D13" s="208">
        <v>0</v>
      </c>
      <c r="E13" s="223">
        <v>88</v>
      </c>
      <c r="F13" s="223"/>
      <c r="G13" s="222">
        <f t="shared" si="0"/>
        <v>225</v>
      </c>
      <c r="H13" s="204"/>
      <c r="AF13">
        <v>1</v>
      </c>
    </row>
    <row r="14" spans="1:32" ht="18.75" x14ac:dyDescent="0.25">
      <c r="A14" s="20" t="s">
        <v>9</v>
      </c>
      <c r="B14" s="106" t="s">
        <v>16</v>
      </c>
      <c r="C14" s="208">
        <v>34</v>
      </c>
      <c r="D14" s="208">
        <v>16</v>
      </c>
      <c r="E14" s="223">
        <v>15</v>
      </c>
      <c r="F14" s="223">
        <v>1642</v>
      </c>
      <c r="G14" s="222">
        <f t="shared" si="0"/>
        <v>1707</v>
      </c>
      <c r="H14" s="204"/>
      <c r="AF14">
        <v>1</v>
      </c>
    </row>
    <row r="15" spans="1:32" ht="18.75" x14ac:dyDescent="0.25">
      <c r="A15" s="20" t="s">
        <v>9</v>
      </c>
      <c r="B15" s="106" t="s">
        <v>17</v>
      </c>
      <c r="C15" s="208">
        <v>56</v>
      </c>
      <c r="D15" s="208">
        <v>33</v>
      </c>
      <c r="E15" s="223">
        <v>31</v>
      </c>
      <c r="F15" s="223">
        <v>311</v>
      </c>
      <c r="G15" s="222">
        <f t="shared" si="0"/>
        <v>431</v>
      </c>
      <c r="H15" s="204"/>
      <c r="AF15">
        <v>1</v>
      </c>
    </row>
    <row r="16" spans="1:32" ht="19.5" thickBot="1" x14ac:dyDescent="0.3">
      <c r="A16" s="21" t="s">
        <v>9</v>
      </c>
      <c r="B16" s="107" t="s">
        <v>18</v>
      </c>
      <c r="C16" s="208">
        <v>61</v>
      </c>
      <c r="D16" s="208">
        <v>0</v>
      </c>
      <c r="E16" s="223">
        <v>28</v>
      </c>
      <c r="F16" s="223"/>
      <c r="G16" s="222">
        <f t="shared" si="0"/>
        <v>89</v>
      </c>
      <c r="H16" s="204"/>
      <c r="AF16">
        <v>1</v>
      </c>
    </row>
    <row r="17" spans="1:32" ht="24.75" thickBot="1" x14ac:dyDescent="0.3">
      <c r="A17" s="16"/>
      <c r="B17" s="217" t="s">
        <v>19</v>
      </c>
      <c r="C17" s="220">
        <f>SUM(C8:C16)</f>
        <v>883</v>
      </c>
      <c r="D17" s="220">
        <f>SUM(D8:D16)</f>
        <v>2176</v>
      </c>
      <c r="E17" s="220">
        <f>SUM(E8:E16)</f>
        <v>922</v>
      </c>
      <c r="F17" s="220">
        <f>SUM(F8:F16)</f>
        <v>1953</v>
      </c>
      <c r="G17" s="224">
        <f t="shared" si="0"/>
        <v>5934</v>
      </c>
      <c r="AF17">
        <v>1</v>
      </c>
    </row>
    <row r="18" spans="1:32" ht="18.75" x14ac:dyDescent="0.25">
      <c r="A18" s="23" t="s">
        <v>20</v>
      </c>
      <c r="B18" s="105" t="s">
        <v>21</v>
      </c>
      <c r="C18" s="208">
        <v>3</v>
      </c>
      <c r="D18" s="208">
        <v>0</v>
      </c>
      <c r="E18" s="223">
        <v>0</v>
      </c>
      <c r="F18" s="223"/>
      <c r="G18" s="222">
        <f t="shared" si="0"/>
        <v>3</v>
      </c>
      <c r="H18" s="204"/>
      <c r="AF18">
        <v>1</v>
      </c>
    </row>
    <row r="19" spans="1:32" ht="18.75" x14ac:dyDescent="0.25">
      <c r="A19" s="24" t="s">
        <v>20</v>
      </c>
      <c r="B19" s="108" t="s">
        <v>22</v>
      </c>
      <c r="C19" s="208">
        <v>2</v>
      </c>
      <c r="D19" s="208">
        <v>13</v>
      </c>
      <c r="E19" s="223">
        <v>15</v>
      </c>
      <c r="F19" s="223"/>
      <c r="G19" s="222">
        <f t="shared" si="0"/>
        <v>30</v>
      </c>
      <c r="H19" s="204"/>
      <c r="AF19">
        <v>1</v>
      </c>
    </row>
    <row r="20" spans="1:32" ht="18.75" x14ac:dyDescent="0.25">
      <c r="A20" s="27" t="s">
        <v>20</v>
      </c>
      <c r="B20" s="106" t="s">
        <v>23</v>
      </c>
      <c r="C20" s="208">
        <v>61</v>
      </c>
      <c r="D20" s="208">
        <v>0</v>
      </c>
      <c r="E20" s="223">
        <v>76</v>
      </c>
      <c r="F20" s="223"/>
      <c r="G20" s="222">
        <f t="shared" si="0"/>
        <v>137</v>
      </c>
      <c r="H20" s="204"/>
      <c r="AF20">
        <v>1</v>
      </c>
    </row>
    <row r="21" spans="1:32" ht="18.75" x14ac:dyDescent="0.25">
      <c r="A21" s="27" t="s">
        <v>20</v>
      </c>
      <c r="B21" s="106" t="s">
        <v>24</v>
      </c>
      <c r="C21" s="208">
        <v>166</v>
      </c>
      <c r="D21" s="208">
        <v>382</v>
      </c>
      <c r="E21" s="223">
        <v>2987</v>
      </c>
      <c r="F21" s="223"/>
      <c r="G21" s="222">
        <f t="shared" si="0"/>
        <v>3535</v>
      </c>
      <c r="H21" s="204"/>
      <c r="AF21">
        <v>1</v>
      </c>
    </row>
    <row r="22" spans="1:32" ht="18.75" x14ac:dyDescent="0.25">
      <c r="A22" s="27" t="s">
        <v>20</v>
      </c>
      <c r="B22" s="106" t="s">
        <v>25</v>
      </c>
      <c r="C22" s="208">
        <v>74</v>
      </c>
      <c r="D22" s="208">
        <v>0</v>
      </c>
      <c r="E22" s="223">
        <v>13</v>
      </c>
      <c r="F22" s="223"/>
      <c r="G22" s="222">
        <f t="shared" si="0"/>
        <v>87</v>
      </c>
      <c r="H22" s="204"/>
      <c r="AF22">
        <v>1</v>
      </c>
    </row>
    <row r="23" spans="1:32" ht="18.75" x14ac:dyDescent="0.25">
      <c r="A23" s="27" t="s">
        <v>20</v>
      </c>
      <c r="B23" s="109" t="s">
        <v>26</v>
      </c>
      <c r="C23" s="208">
        <v>30</v>
      </c>
      <c r="D23" s="208">
        <v>0</v>
      </c>
      <c r="E23" s="223">
        <v>2</v>
      </c>
      <c r="F23" s="223"/>
      <c r="G23" s="222">
        <f t="shared" si="0"/>
        <v>32</v>
      </c>
      <c r="H23" s="204"/>
      <c r="AF23">
        <v>1</v>
      </c>
    </row>
    <row r="24" spans="1:32" ht="19.5" thickBot="1" x14ac:dyDescent="0.3">
      <c r="A24" s="30" t="s">
        <v>20</v>
      </c>
      <c r="B24" s="107" t="s">
        <v>27</v>
      </c>
      <c r="C24" s="208">
        <v>32</v>
      </c>
      <c r="D24" s="208">
        <v>555</v>
      </c>
      <c r="E24" s="223">
        <v>193</v>
      </c>
      <c r="F24" s="223"/>
      <c r="G24" s="222">
        <f t="shared" si="0"/>
        <v>780</v>
      </c>
      <c r="H24" s="204"/>
      <c r="AF24">
        <v>1</v>
      </c>
    </row>
    <row r="25" spans="1:32" ht="24.75" thickBot="1" x14ac:dyDescent="0.3">
      <c r="A25" s="16"/>
      <c r="B25" s="217" t="s">
        <v>28</v>
      </c>
      <c r="C25" s="220">
        <f>SUM(C18:C24)</f>
        <v>368</v>
      </c>
      <c r="D25" s="220">
        <f>SUM(D18:D24)</f>
        <v>950</v>
      </c>
      <c r="E25" s="220">
        <f>SUM(E18:E24)</f>
        <v>3286</v>
      </c>
      <c r="F25" s="220">
        <f>SUM(F18:F24)</f>
        <v>0</v>
      </c>
      <c r="G25" s="224">
        <f t="shared" si="0"/>
        <v>4604</v>
      </c>
      <c r="AF25">
        <v>1</v>
      </c>
    </row>
    <row r="26" spans="1:32" ht="18.75" x14ac:dyDescent="0.25">
      <c r="A26" s="33" t="s">
        <v>29</v>
      </c>
      <c r="B26" s="102" t="s">
        <v>30</v>
      </c>
      <c r="C26" s="208">
        <v>277</v>
      </c>
      <c r="D26" s="208">
        <v>31</v>
      </c>
      <c r="E26" s="223">
        <v>25</v>
      </c>
      <c r="F26" s="223"/>
      <c r="G26" s="222">
        <f t="shared" si="0"/>
        <v>333</v>
      </c>
      <c r="H26" s="204">
        <v>101</v>
      </c>
      <c r="I26" s="208">
        <v>176</v>
      </c>
      <c r="AF26">
        <v>1</v>
      </c>
    </row>
    <row r="27" spans="1:32" ht="18.75" x14ac:dyDescent="0.25">
      <c r="A27" s="37" t="s">
        <v>29</v>
      </c>
      <c r="B27" s="103" t="s">
        <v>31</v>
      </c>
      <c r="C27" s="208">
        <v>199</v>
      </c>
      <c r="D27" s="208">
        <v>0</v>
      </c>
      <c r="E27" s="223">
        <v>57</v>
      </c>
      <c r="F27" s="223"/>
      <c r="G27" s="222">
        <f t="shared" si="0"/>
        <v>256</v>
      </c>
      <c r="H27" s="110"/>
      <c r="AF27">
        <v>1</v>
      </c>
    </row>
    <row r="28" spans="1:32" ht="18.75" x14ac:dyDescent="0.25">
      <c r="A28" s="37" t="s">
        <v>29</v>
      </c>
      <c r="B28" s="103" t="s">
        <v>32</v>
      </c>
      <c r="C28" s="208">
        <v>642</v>
      </c>
      <c r="D28" s="208">
        <v>572</v>
      </c>
      <c r="E28" s="223">
        <v>196</v>
      </c>
      <c r="F28" s="223"/>
      <c r="G28" s="222">
        <f t="shared" si="0"/>
        <v>1410</v>
      </c>
      <c r="H28" s="204"/>
      <c r="AF28">
        <v>1</v>
      </c>
    </row>
    <row r="29" spans="1:32" ht="19.5" thickBot="1" x14ac:dyDescent="0.3">
      <c r="A29" s="41" t="s">
        <v>29</v>
      </c>
      <c r="B29" s="104" t="s">
        <v>33</v>
      </c>
      <c r="C29" s="208">
        <v>375</v>
      </c>
      <c r="D29" s="208">
        <v>6</v>
      </c>
      <c r="E29" s="223">
        <v>12</v>
      </c>
      <c r="F29" s="223"/>
      <c r="G29" s="222">
        <f t="shared" si="0"/>
        <v>393</v>
      </c>
      <c r="H29" s="204"/>
      <c r="AF29">
        <v>1</v>
      </c>
    </row>
    <row r="30" spans="1:32" ht="24.75" thickBot="1" x14ac:dyDescent="0.3">
      <c r="A30" s="16"/>
      <c r="B30" s="217" t="s">
        <v>34</v>
      </c>
      <c r="C30" s="220">
        <f>SUM(C26:C29)</f>
        <v>1493</v>
      </c>
      <c r="D30" s="220">
        <f>SUM(D26:D29)</f>
        <v>609</v>
      </c>
      <c r="E30" s="220">
        <f>SUM(E26:E29)</f>
        <v>290</v>
      </c>
      <c r="F30" s="220">
        <f>SUM(F26:F29)</f>
        <v>0</v>
      </c>
      <c r="G30" s="224">
        <f t="shared" si="0"/>
        <v>2392</v>
      </c>
      <c r="AF30">
        <v>1</v>
      </c>
    </row>
    <row r="31" spans="1:32" ht="18.75" x14ac:dyDescent="0.25">
      <c r="A31" s="47" t="s">
        <v>35</v>
      </c>
      <c r="B31" s="105" t="s">
        <v>36</v>
      </c>
      <c r="C31" s="208">
        <v>448</v>
      </c>
      <c r="D31" s="208">
        <v>353</v>
      </c>
      <c r="E31" s="223">
        <v>56</v>
      </c>
      <c r="F31" s="223"/>
      <c r="G31" s="222">
        <f t="shared" si="0"/>
        <v>857</v>
      </c>
      <c r="H31" s="204"/>
      <c r="AF31">
        <v>1</v>
      </c>
    </row>
    <row r="32" spans="1:32" ht="18.75" x14ac:dyDescent="0.25">
      <c r="A32" s="48" t="s">
        <v>35</v>
      </c>
      <c r="B32" s="106" t="s">
        <v>37</v>
      </c>
      <c r="C32" s="208">
        <v>173</v>
      </c>
      <c r="D32" s="208">
        <v>1692</v>
      </c>
      <c r="E32" s="223">
        <v>2262</v>
      </c>
      <c r="F32" s="223"/>
      <c r="G32" s="222">
        <f t="shared" si="0"/>
        <v>4127</v>
      </c>
      <c r="H32" s="204">
        <v>402</v>
      </c>
      <c r="AF32">
        <v>1</v>
      </c>
    </row>
    <row r="33" spans="1:32" ht="19.5" thickBot="1" x14ac:dyDescent="0.3">
      <c r="A33" s="49" t="s">
        <v>35</v>
      </c>
      <c r="B33" s="107" t="s">
        <v>38</v>
      </c>
      <c r="C33" s="208">
        <v>181</v>
      </c>
      <c r="D33" s="208">
        <v>0</v>
      </c>
      <c r="E33" s="223">
        <v>47</v>
      </c>
      <c r="F33" s="223"/>
      <c r="G33" s="222">
        <f t="shared" si="0"/>
        <v>228</v>
      </c>
      <c r="H33" s="204"/>
      <c r="AF33">
        <v>1</v>
      </c>
    </row>
    <row r="34" spans="1:32" ht="24.75" thickBot="1" x14ac:dyDescent="0.3">
      <c r="A34" s="16"/>
      <c r="B34" s="217" t="s">
        <v>39</v>
      </c>
      <c r="C34" s="220">
        <f>SUM(C31:C33)</f>
        <v>802</v>
      </c>
      <c r="D34" s="220">
        <f>SUM(D31:D33)</f>
        <v>2045</v>
      </c>
      <c r="E34" s="220">
        <f>SUM(E31:E33)</f>
        <v>2365</v>
      </c>
      <c r="F34" s="220">
        <f>SUM(F31:F33)</f>
        <v>0</v>
      </c>
      <c r="G34" s="224">
        <f t="shared" si="0"/>
        <v>5212</v>
      </c>
      <c r="AF34">
        <v>1</v>
      </c>
    </row>
    <row r="35" spans="1:32" ht="19.5" thickBot="1" x14ac:dyDescent="0.3">
      <c r="A35" s="68" t="s">
        <v>40</v>
      </c>
      <c r="B35" s="218" t="s">
        <v>40</v>
      </c>
      <c r="C35" s="221">
        <v>10</v>
      </c>
      <c r="D35" s="221">
        <v>14</v>
      </c>
      <c r="E35" s="225">
        <v>10</v>
      </c>
      <c r="F35" s="225"/>
      <c r="G35" s="225">
        <f>SUM(C35:F35)</f>
        <v>34</v>
      </c>
      <c r="AF35">
        <v>1</v>
      </c>
    </row>
    <row r="36" spans="1:32" ht="19.5" thickBot="1" x14ac:dyDescent="0.3">
      <c r="A36" s="52"/>
      <c r="B36" s="217" t="s">
        <v>41</v>
      </c>
      <c r="C36" s="220">
        <f>C7+C17+C25+C30+C34+C35</f>
        <v>3896</v>
      </c>
      <c r="D36" s="220">
        <f>D7+D17+D25+D30+D34+D35</f>
        <v>5838</v>
      </c>
      <c r="E36" s="220">
        <f>E7+E17+E25+E30+E34+E35</f>
        <v>6924</v>
      </c>
      <c r="F36" s="220">
        <f>F7+F17+F25+F30+F34+F35</f>
        <v>1953</v>
      </c>
      <c r="G36" s="224">
        <f>SUM(C36:F36)</f>
        <v>18611</v>
      </c>
      <c r="AF36">
        <v>1</v>
      </c>
    </row>
    <row r="37" spans="1:32" x14ac:dyDescent="0.25">
      <c r="AF37"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scale="6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4351-5D95-48AA-844C-9C2A5BB6859D}">
  <dimension ref="A3:C10"/>
  <sheetViews>
    <sheetView workbookViewId="0">
      <selection activeCell="E19" sqref="E19"/>
    </sheetView>
  </sheetViews>
  <sheetFormatPr defaultRowHeight="15" x14ac:dyDescent="0.25"/>
  <cols>
    <col min="1" max="1" width="18.42578125" bestFit="1" customWidth="1"/>
    <col min="2" max="3" width="26.140625" bestFit="1" customWidth="1"/>
  </cols>
  <sheetData>
    <row r="3" spans="1:3" x14ac:dyDescent="0.25">
      <c r="A3" s="316" t="s">
        <v>147</v>
      </c>
      <c r="B3" t="s">
        <v>148</v>
      </c>
      <c r="C3" t="s">
        <v>149</v>
      </c>
    </row>
    <row r="4" spans="1:3" x14ac:dyDescent="0.25">
      <c r="A4" s="317" t="s">
        <v>3</v>
      </c>
      <c r="B4" s="110">
        <v>301</v>
      </c>
      <c r="C4" s="110"/>
    </row>
    <row r="5" spans="1:3" x14ac:dyDescent="0.25">
      <c r="A5" s="317" t="s">
        <v>40</v>
      </c>
      <c r="B5" s="110">
        <v>10</v>
      </c>
      <c r="C5" s="110"/>
    </row>
    <row r="6" spans="1:3" x14ac:dyDescent="0.25">
      <c r="A6" s="317" t="s">
        <v>9</v>
      </c>
      <c r="B6" s="110">
        <v>1373</v>
      </c>
      <c r="C6" s="110">
        <v>94</v>
      </c>
    </row>
    <row r="7" spans="1:3" x14ac:dyDescent="0.25">
      <c r="A7" s="317" t="s">
        <v>20</v>
      </c>
      <c r="B7" s="110">
        <v>4045</v>
      </c>
      <c r="C7" s="110"/>
    </row>
    <row r="8" spans="1:3" x14ac:dyDescent="0.25">
      <c r="A8" s="317" t="s">
        <v>29</v>
      </c>
      <c r="B8" s="110">
        <v>2313</v>
      </c>
      <c r="C8" s="110"/>
    </row>
    <row r="9" spans="1:3" x14ac:dyDescent="0.25">
      <c r="A9" s="317" t="s">
        <v>35</v>
      </c>
      <c r="B9" s="110">
        <v>1373</v>
      </c>
      <c r="C9" s="110"/>
    </row>
    <row r="10" spans="1:3" x14ac:dyDescent="0.25">
      <c r="A10" s="317" t="s">
        <v>96</v>
      </c>
      <c r="B10" s="110">
        <v>9415</v>
      </c>
      <c r="C10" s="110">
        <v>94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AAD6-C603-4693-859E-FDC678D04060}">
  <dimension ref="A1:G30"/>
  <sheetViews>
    <sheetView zoomScale="85" zoomScaleNormal="85" workbookViewId="0">
      <selection activeCell="A2" sqref="A2:G30"/>
    </sheetView>
  </sheetViews>
  <sheetFormatPr defaultRowHeight="15" x14ac:dyDescent="0.25"/>
  <cols>
    <col min="1" max="1" width="15.5703125" bestFit="1" customWidth="1"/>
    <col min="2" max="2" width="27.140625" bestFit="1" customWidth="1"/>
    <col min="3" max="5" width="23.140625" bestFit="1" customWidth="1"/>
    <col min="6" max="6" width="23.140625" customWidth="1"/>
    <col min="7" max="7" width="35.28515625" bestFit="1" customWidth="1"/>
  </cols>
  <sheetData>
    <row r="1" spans="1:7" ht="21.75" thickBot="1" x14ac:dyDescent="0.3">
      <c r="A1" s="366" t="s">
        <v>114</v>
      </c>
      <c r="B1" s="367"/>
      <c r="C1" s="367"/>
      <c r="D1" s="367"/>
      <c r="E1" s="367"/>
      <c r="F1" s="367"/>
      <c r="G1" s="367"/>
    </row>
    <row r="2" spans="1:7" ht="19.5" thickBot="1" x14ac:dyDescent="0.3">
      <c r="A2" s="1" t="s">
        <v>0</v>
      </c>
      <c r="B2" s="1" t="s">
        <v>1</v>
      </c>
      <c r="C2" s="1" t="s">
        <v>90</v>
      </c>
      <c r="D2" s="1" t="s">
        <v>91</v>
      </c>
      <c r="E2" s="1" t="s">
        <v>92</v>
      </c>
      <c r="F2" s="1" t="s">
        <v>105</v>
      </c>
      <c r="G2" s="1" t="s">
        <v>107</v>
      </c>
    </row>
    <row r="3" spans="1:7" ht="18.75" x14ac:dyDescent="0.25">
      <c r="A3" s="4" t="s">
        <v>3</v>
      </c>
      <c r="B3" s="105" t="s">
        <v>4</v>
      </c>
      <c r="C3" s="219">
        <v>79</v>
      </c>
      <c r="D3" s="219">
        <v>116</v>
      </c>
      <c r="E3" s="222">
        <v>96</v>
      </c>
      <c r="F3" s="222"/>
      <c r="G3" s="222">
        <f>SUM(C3:F3)</f>
        <v>291</v>
      </c>
    </row>
    <row r="4" spans="1:7" ht="18.75" x14ac:dyDescent="0.25">
      <c r="A4" s="9" t="s">
        <v>3</v>
      </c>
      <c r="B4" s="106" t="s">
        <v>5</v>
      </c>
      <c r="C4" s="208">
        <v>41</v>
      </c>
      <c r="D4" s="208">
        <v>83</v>
      </c>
      <c r="E4" s="223">
        <v>85</v>
      </c>
      <c r="F4" s="223"/>
      <c r="G4" s="222">
        <f t="shared" ref="G4:G29" si="0">SUM(C4:F4)</f>
        <v>209</v>
      </c>
    </row>
    <row r="5" spans="1:7" ht="18.75" x14ac:dyDescent="0.25">
      <c r="A5" s="9" t="s">
        <v>3</v>
      </c>
      <c r="B5" s="106" t="s">
        <v>6</v>
      </c>
      <c r="C5" s="208">
        <v>138</v>
      </c>
      <c r="D5" s="208">
        <v>41</v>
      </c>
      <c r="E5" s="223">
        <v>32</v>
      </c>
      <c r="F5" s="223"/>
      <c r="G5" s="222">
        <f t="shared" si="0"/>
        <v>211</v>
      </c>
    </row>
    <row r="6" spans="1:7" ht="19.5" thickBot="1" x14ac:dyDescent="0.3">
      <c r="A6" s="12" t="s">
        <v>3</v>
      </c>
      <c r="B6" s="107" t="s">
        <v>7</v>
      </c>
      <c r="C6" s="208">
        <v>88</v>
      </c>
      <c r="D6" s="208">
        <v>86</v>
      </c>
      <c r="E6" s="223">
        <v>88</v>
      </c>
      <c r="F6" s="223"/>
      <c r="G6" s="222">
        <f t="shared" si="0"/>
        <v>262</v>
      </c>
    </row>
    <row r="7" spans="1:7" ht="18.75" x14ac:dyDescent="0.25">
      <c r="A7" s="19" t="s">
        <v>9</v>
      </c>
      <c r="B7" s="105" t="s">
        <v>10</v>
      </c>
      <c r="C7" s="208">
        <v>105</v>
      </c>
      <c r="D7" s="208">
        <v>117</v>
      </c>
      <c r="E7" s="223">
        <v>151</v>
      </c>
      <c r="F7" s="223"/>
      <c r="G7" s="222">
        <f t="shared" si="0"/>
        <v>373</v>
      </c>
    </row>
    <row r="8" spans="1:7" ht="18.75" x14ac:dyDescent="0.25">
      <c r="A8" s="20" t="s">
        <v>9</v>
      </c>
      <c r="B8" s="106" t="s">
        <v>11</v>
      </c>
      <c r="C8" s="208">
        <v>267</v>
      </c>
      <c r="D8" s="208">
        <v>252</v>
      </c>
      <c r="E8" s="223">
        <v>160</v>
      </c>
      <c r="F8" s="223"/>
      <c r="G8" s="222">
        <f t="shared" si="0"/>
        <v>679</v>
      </c>
    </row>
    <row r="9" spans="1:7" ht="18.75" x14ac:dyDescent="0.25">
      <c r="A9" s="20" t="s">
        <v>9</v>
      </c>
      <c r="B9" s="106" t="s">
        <v>12</v>
      </c>
      <c r="C9" s="208">
        <v>79</v>
      </c>
      <c r="D9" s="208">
        <v>148</v>
      </c>
      <c r="E9" s="223">
        <v>178</v>
      </c>
      <c r="F9" s="223"/>
      <c r="G9" s="222">
        <f t="shared" si="0"/>
        <v>405</v>
      </c>
    </row>
    <row r="10" spans="1:7" ht="18.75" x14ac:dyDescent="0.25">
      <c r="A10" s="20" t="s">
        <v>9</v>
      </c>
      <c r="B10" s="106" t="s">
        <v>13</v>
      </c>
      <c r="C10" s="208">
        <v>74</v>
      </c>
      <c r="D10" s="208">
        <v>165</v>
      </c>
      <c r="E10" s="223">
        <v>91</v>
      </c>
      <c r="F10" s="223"/>
      <c r="G10" s="222">
        <f t="shared" si="0"/>
        <v>330</v>
      </c>
    </row>
    <row r="11" spans="1:7" ht="18.75" x14ac:dyDescent="0.25">
      <c r="A11" s="20" t="s">
        <v>9</v>
      </c>
      <c r="B11" s="106" t="s">
        <v>14</v>
      </c>
      <c r="C11" s="208">
        <v>77</v>
      </c>
      <c r="D11" s="208">
        <v>111</v>
      </c>
      <c r="E11" s="223">
        <v>122</v>
      </c>
      <c r="F11" s="223"/>
      <c r="G11" s="222">
        <f>SUM(C11:F11)</f>
        <v>310</v>
      </c>
    </row>
    <row r="12" spans="1:7" ht="18.75" x14ac:dyDescent="0.25">
      <c r="A12" s="20" t="s">
        <v>9</v>
      </c>
      <c r="B12" s="106" t="s">
        <v>15</v>
      </c>
      <c r="C12" s="208">
        <v>140</v>
      </c>
      <c r="D12" s="208">
        <v>203</v>
      </c>
      <c r="E12" s="223">
        <v>273</v>
      </c>
      <c r="F12" s="223"/>
      <c r="G12" s="222">
        <f t="shared" si="0"/>
        <v>616</v>
      </c>
    </row>
    <row r="13" spans="1:7" ht="18.75" x14ac:dyDescent="0.25">
      <c r="A13" s="20" t="s">
        <v>9</v>
      </c>
      <c r="B13" s="106" t="s">
        <v>16</v>
      </c>
      <c r="C13" s="208">
        <v>34</v>
      </c>
      <c r="D13" s="208">
        <v>97</v>
      </c>
      <c r="E13" s="223">
        <v>87</v>
      </c>
      <c r="F13" s="223"/>
      <c r="G13" s="222">
        <f t="shared" si="0"/>
        <v>218</v>
      </c>
    </row>
    <row r="14" spans="1:7" ht="18.75" x14ac:dyDescent="0.25">
      <c r="A14" s="20" t="s">
        <v>9</v>
      </c>
      <c r="B14" s="106" t="s">
        <v>17</v>
      </c>
      <c r="C14" s="208">
        <v>59</v>
      </c>
      <c r="D14" s="208">
        <v>225</v>
      </c>
      <c r="E14" s="223">
        <v>200</v>
      </c>
      <c r="F14" s="223">
        <v>94</v>
      </c>
      <c r="G14" s="222">
        <f t="shared" si="0"/>
        <v>578</v>
      </c>
    </row>
    <row r="15" spans="1:7" ht="19.5" thickBot="1" x14ac:dyDescent="0.3">
      <c r="A15" s="21" t="s">
        <v>9</v>
      </c>
      <c r="B15" s="107" t="s">
        <v>18</v>
      </c>
      <c r="C15" s="208">
        <v>64</v>
      </c>
      <c r="D15" s="208">
        <v>68</v>
      </c>
      <c r="E15" s="223">
        <v>111</v>
      </c>
      <c r="F15" s="223"/>
      <c r="G15" s="222">
        <f t="shared" si="0"/>
        <v>243</v>
      </c>
    </row>
    <row r="16" spans="1:7" ht="18.75" x14ac:dyDescent="0.25">
      <c r="A16" s="23" t="s">
        <v>20</v>
      </c>
      <c r="B16" s="105" t="s">
        <v>21</v>
      </c>
      <c r="C16" s="208">
        <v>3</v>
      </c>
      <c r="D16" s="208">
        <v>7</v>
      </c>
      <c r="E16" s="223">
        <v>8</v>
      </c>
      <c r="F16" s="223"/>
      <c r="G16" s="222">
        <f t="shared" si="0"/>
        <v>18</v>
      </c>
    </row>
    <row r="17" spans="1:7" ht="18.75" x14ac:dyDescent="0.25">
      <c r="A17" s="24" t="s">
        <v>20</v>
      </c>
      <c r="B17" s="108" t="s">
        <v>22</v>
      </c>
      <c r="C17" s="208">
        <v>2</v>
      </c>
      <c r="D17" s="208">
        <v>36</v>
      </c>
      <c r="E17" s="223">
        <v>33</v>
      </c>
      <c r="F17" s="223"/>
      <c r="G17" s="222">
        <f t="shared" si="0"/>
        <v>71</v>
      </c>
    </row>
    <row r="18" spans="1:7" ht="18.75" x14ac:dyDescent="0.25">
      <c r="A18" s="27" t="s">
        <v>20</v>
      </c>
      <c r="B18" s="106" t="s">
        <v>23</v>
      </c>
      <c r="C18" s="208">
        <v>62</v>
      </c>
      <c r="D18" s="208">
        <v>127</v>
      </c>
      <c r="E18" s="223">
        <v>160</v>
      </c>
      <c r="F18" s="223"/>
      <c r="G18" s="222">
        <f t="shared" si="0"/>
        <v>349</v>
      </c>
    </row>
    <row r="19" spans="1:7" ht="18.75" x14ac:dyDescent="0.25">
      <c r="A19" s="27" t="s">
        <v>20</v>
      </c>
      <c r="B19" s="106" t="s">
        <v>24</v>
      </c>
      <c r="C19" s="208">
        <v>288</v>
      </c>
      <c r="D19" s="208">
        <v>868</v>
      </c>
      <c r="E19" s="223">
        <v>3723</v>
      </c>
      <c r="F19" s="223"/>
      <c r="G19" s="222">
        <f t="shared" si="0"/>
        <v>4879</v>
      </c>
    </row>
    <row r="20" spans="1:7" ht="18.75" x14ac:dyDescent="0.25">
      <c r="A20" s="27" t="s">
        <v>20</v>
      </c>
      <c r="B20" s="106" t="s">
        <v>25</v>
      </c>
      <c r="C20" s="208">
        <v>74</v>
      </c>
      <c r="D20" s="208">
        <v>56</v>
      </c>
      <c r="E20" s="223">
        <v>26</v>
      </c>
      <c r="F20" s="223"/>
      <c r="G20" s="222">
        <f t="shared" si="0"/>
        <v>156</v>
      </c>
    </row>
    <row r="21" spans="1:7" ht="18.75" x14ac:dyDescent="0.25">
      <c r="A21" s="27" t="s">
        <v>20</v>
      </c>
      <c r="B21" s="109" t="s">
        <v>26</v>
      </c>
      <c r="C21" s="208">
        <v>31</v>
      </c>
      <c r="D21" s="208">
        <v>28</v>
      </c>
      <c r="E21" s="223">
        <v>24</v>
      </c>
      <c r="F21" s="223"/>
      <c r="G21" s="222">
        <f t="shared" si="0"/>
        <v>83</v>
      </c>
    </row>
    <row r="22" spans="1:7" ht="19.5" thickBot="1" x14ac:dyDescent="0.3">
      <c r="A22" s="30" t="s">
        <v>20</v>
      </c>
      <c r="B22" s="107" t="s">
        <v>27</v>
      </c>
      <c r="C22" s="208">
        <v>33</v>
      </c>
      <c r="D22" s="208">
        <v>70</v>
      </c>
      <c r="E22" s="223">
        <v>71</v>
      </c>
      <c r="F22" s="223"/>
      <c r="G22" s="222">
        <f t="shared" si="0"/>
        <v>174</v>
      </c>
    </row>
    <row r="23" spans="1:7" ht="18.75" x14ac:dyDescent="0.25">
      <c r="A23" s="33" t="s">
        <v>29</v>
      </c>
      <c r="B23" s="102" t="s">
        <v>30</v>
      </c>
      <c r="C23" s="208">
        <v>179</v>
      </c>
      <c r="D23" s="208">
        <v>132</v>
      </c>
      <c r="E23" s="223">
        <v>87</v>
      </c>
      <c r="F23" s="223"/>
      <c r="G23" s="222">
        <f t="shared" si="0"/>
        <v>398</v>
      </c>
    </row>
    <row r="24" spans="1:7" ht="18.75" x14ac:dyDescent="0.25">
      <c r="A24" s="37" t="s">
        <v>29</v>
      </c>
      <c r="B24" s="103" t="s">
        <v>31</v>
      </c>
      <c r="C24" s="208">
        <v>191</v>
      </c>
      <c r="D24" s="208">
        <v>192</v>
      </c>
      <c r="E24" s="223">
        <v>346</v>
      </c>
      <c r="F24" s="223"/>
      <c r="G24" s="222">
        <f t="shared" si="0"/>
        <v>729</v>
      </c>
    </row>
    <row r="25" spans="1:7" ht="18.75" x14ac:dyDescent="0.25">
      <c r="A25" s="37" t="s">
        <v>29</v>
      </c>
      <c r="B25" s="103" t="s">
        <v>32</v>
      </c>
      <c r="C25" s="208">
        <v>552</v>
      </c>
      <c r="D25" s="208">
        <v>746</v>
      </c>
      <c r="E25" s="223">
        <v>879</v>
      </c>
      <c r="F25" s="223"/>
      <c r="G25" s="222">
        <f t="shared" si="0"/>
        <v>2177</v>
      </c>
    </row>
    <row r="26" spans="1:7" ht="19.5" thickBot="1" x14ac:dyDescent="0.3">
      <c r="A26" s="41" t="s">
        <v>29</v>
      </c>
      <c r="B26" s="104" t="s">
        <v>33</v>
      </c>
      <c r="C26" s="208">
        <v>283</v>
      </c>
      <c r="D26" s="208">
        <v>906</v>
      </c>
      <c r="E26" s="223">
        <v>1001</v>
      </c>
      <c r="F26" s="223"/>
      <c r="G26" s="222">
        <f t="shared" si="0"/>
        <v>2190</v>
      </c>
    </row>
    <row r="27" spans="1:7" ht="18.75" x14ac:dyDescent="0.25">
      <c r="A27" s="47" t="s">
        <v>35</v>
      </c>
      <c r="B27" s="105" t="s">
        <v>36</v>
      </c>
      <c r="C27" s="208">
        <v>427</v>
      </c>
      <c r="D27" s="208">
        <v>2476</v>
      </c>
      <c r="E27" s="223">
        <v>243</v>
      </c>
      <c r="F27" s="223"/>
      <c r="G27" s="222">
        <f t="shared" si="0"/>
        <v>3146</v>
      </c>
    </row>
    <row r="28" spans="1:7" ht="18.75" x14ac:dyDescent="0.25">
      <c r="A28" s="48" t="s">
        <v>35</v>
      </c>
      <c r="B28" s="106" t="s">
        <v>37</v>
      </c>
      <c r="C28" s="208">
        <v>177</v>
      </c>
      <c r="D28" s="208">
        <v>732</v>
      </c>
      <c r="E28" s="223">
        <v>945</v>
      </c>
      <c r="F28" s="223"/>
      <c r="G28" s="222">
        <f t="shared" si="0"/>
        <v>1854</v>
      </c>
    </row>
    <row r="29" spans="1:7" ht="19.5" thickBot="1" x14ac:dyDescent="0.3">
      <c r="A29" s="49" t="s">
        <v>35</v>
      </c>
      <c r="B29" s="107" t="s">
        <v>38</v>
      </c>
      <c r="C29" s="208">
        <v>185</v>
      </c>
      <c r="D29" s="208">
        <v>225</v>
      </c>
      <c r="E29" s="223">
        <v>185</v>
      </c>
      <c r="F29" s="223"/>
      <c r="G29" s="222">
        <f t="shared" si="0"/>
        <v>595</v>
      </c>
    </row>
    <row r="30" spans="1:7" ht="19.5" thickBot="1" x14ac:dyDescent="0.3">
      <c r="A30" s="68" t="s">
        <v>40</v>
      </c>
      <c r="B30" s="218" t="s">
        <v>40</v>
      </c>
      <c r="C30" s="221">
        <v>10</v>
      </c>
      <c r="D30" s="221">
        <v>14</v>
      </c>
      <c r="E30" s="225">
        <v>10</v>
      </c>
      <c r="F30" s="225"/>
      <c r="G30" s="225">
        <f>SUM(C30:F30)</f>
        <v>34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F9AE-3A08-4364-AB50-F32384DB03CF}">
  <sheetPr codeName="Planilha4"/>
  <dimension ref="A1:K36"/>
  <sheetViews>
    <sheetView zoomScale="70" zoomScaleNormal="70" workbookViewId="0">
      <selection activeCell="C16" sqref="C16"/>
    </sheetView>
  </sheetViews>
  <sheetFormatPr defaultRowHeight="15" x14ac:dyDescent="0.25"/>
  <cols>
    <col min="1" max="1" width="15.5703125" bestFit="1" customWidth="1"/>
    <col min="2" max="2" width="27.140625" bestFit="1" customWidth="1"/>
    <col min="3" max="3" width="26.28515625" customWidth="1"/>
    <col min="4" max="4" width="20.28515625" customWidth="1"/>
    <col min="5" max="5" width="19.140625" customWidth="1"/>
    <col min="6" max="6" width="25.7109375" customWidth="1"/>
    <col min="7" max="7" width="28.5703125" customWidth="1"/>
    <col min="8" max="8" width="19.7109375" customWidth="1"/>
    <col min="9" max="9" width="23.5703125" customWidth="1"/>
    <col min="10" max="10" width="17.28515625" customWidth="1"/>
    <col min="11" max="11" width="19" customWidth="1"/>
  </cols>
  <sheetData>
    <row r="1" spans="1:11" ht="21.75" thickBot="1" x14ac:dyDescent="0.3">
      <c r="A1" s="341" t="s">
        <v>42</v>
      </c>
      <c r="B1" s="342"/>
      <c r="C1" s="342"/>
      <c r="D1" s="342"/>
      <c r="E1" s="342"/>
      <c r="F1" s="342"/>
      <c r="G1" s="342"/>
      <c r="H1" s="342"/>
      <c r="I1" s="342"/>
      <c r="J1" s="342"/>
      <c r="K1" s="343"/>
    </row>
    <row r="2" spans="1:11" ht="38.25" thickBot="1" x14ac:dyDescent="0.3">
      <c r="A2" s="1" t="s">
        <v>0</v>
      </c>
      <c r="B2" s="217" t="s">
        <v>1</v>
      </c>
      <c r="C2" s="2" t="s">
        <v>106</v>
      </c>
      <c r="D2" s="3" t="s">
        <v>187</v>
      </c>
      <c r="E2" s="3"/>
      <c r="F2" s="2"/>
      <c r="G2" s="2"/>
      <c r="H2" s="2"/>
      <c r="I2" s="2"/>
      <c r="J2" s="2"/>
      <c r="K2" s="3" t="s">
        <v>2</v>
      </c>
    </row>
    <row r="3" spans="1:11" ht="19.5" thickBot="1" x14ac:dyDescent="0.3">
      <c r="A3" s="4" t="s">
        <v>3</v>
      </c>
      <c r="B3" s="261" t="s">
        <v>4</v>
      </c>
      <c r="C3" s="77"/>
      <c r="D3" s="276"/>
      <c r="E3" s="129"/>
      <c r="F3" s="129"/>
      <c r="G3" s="141"/>
      <c r="H3" s="234"/>
      <c r="I3" s="235"/>
      <c r="J3" s="131"/>
      <c r="K3" s="77">
        <f>SUM(C3:J3)</f>
        <v>0</v>
      </c>
    </row>
    <row r="4" spans="1:11" ht="19.5" thickBot="1" x14ac:dyDescent="0.3">
      <c r="A4" s="9" t="s">
        <v>3</v>
      </c>
      <c r="B4" s="262" t="s">
        <v>5</v>
      </c>
      <c r="C4" s="269"/>
      <c r="D4" s="276"/>
      <c r="E4" s="130"/>
      <c r="F4" s="130"/>
      <c r="G4" s="144"/>
      <c r="H4" s="236"/>
      <c r="I4" s="237"/>
      <c r="J4" s="133"/>
      <c r="K4" s="77">
        <f t="shared" ref="K4:K36" si="0">SUM(C4:J4)</f>
        <v>0</v>
      </c>
    </row>
    <row r="5" spans="1:11" ht="19.5" thickBot="1" x14ac:dyDescent="0.3">
      <c r="A5" s="9" t="s">
        <v>3</v>
      </c>
      <c r="B5" s="262" t="s">
        <v>6</v>
      </c>
      <c r="C5" s="269"/>
      <c r="D5" s="276"/>
      <c r="E5" s="130"/>
      <c r="F5" s="130"/>
      <c r="G5" s="144"/>
      <c r="H5" s="236"/>
      <c r="I5" s="237"/>
      <c r="J5" s="133"/>
      <c r="K5" s="77">
        <f t="shared" si="0"/>
        <v>0</v>
      </c>
    </row>
    <row r="6" spans="1:11" ht="19.5" thickBot="1" x14ac:dyDescent="0.3">
      <c r="A6" s="12" t="s">
        <v>3</v>
      </c>
      <c r="B6" s="263" t="s">
        <v>7</v>
      </c>
      <c r="C6" s="270"/>
      <c r="D6" s="276"/>
      <c r="E6" s="134"/>
      <c r="F6" s="134"/>
      <c r="G6" s="146"/>
      <c r="H6" s="238"/>
      <c r="I6" s="239"/>
      <c r="J6" s="135"/>
      <c r="K6" s="77">
        <f t="shared" si="0"/>
        <v>0</v>
      </c>
    </row>
    <row r="7" spans="1:11" ht="24.75" thickBot="1" x14ac:dyDescent="0.3">
      <c r="A7" s="16"/>
      <c r="B7" s="217" t="s">
        <v>8</v>
      </c>
      <c r="C7" s="71">
        <f>SUM(C3:C6)</f>
        <v>0</v>
      </c>
      <c r="D7" s="71">
        <f t="shared" ref="D7:J7" si="1">SUM(D3:D6)</f>
        <v>0</v>
      </c>
      <c r="E7" s="71">
        <f t="shared" si="1"/>
        <v>0</v>
      </c>
      <c r="F7" s="71">
        <f t="shared" si="1"/>
        <v>0</v>
      </c>
      <c r="G7" s="282">
        <f t="shared" si="1"/>
        <v>0</v>
      </c>
      <c r="H7" s="283">
        <f>SUM(H3:H6)</f>
        <v>0</v>
      </c>
      <c r="I7" s="283">
        <f t="shared" si="1"/>
        <v>0</v>
      </c>
      <c r="J7" s="283">
        <f t="shared" si="1"/>
        <v>0</v>
      </c>
      <c r="K7" s="283">
        <f t="shared" si="0"/>
        <v>0</v>
      </c>
    </row>
    <row r="8" spans="1:11" ht="19.5" thickBot="1" x14ac:dyDescent="0.3">
      <c r="A8" s="19" t="s">
        <v>9</v>
      </c>
      <c r="B8" s="261" t="s">
        <v>10</v>
      </c>
      <c r="C8" s="77"/>
      <c r="D8" s="240"/>
      <c r="E8" s="129"/>
      <c r="F8" s="129"/>
      <c r="G8" s="141"/>
      <c r="H8" s="236"/>
      <c r="I8" s="234"/>
      <c r="J8" s="129"/>
      <c r="K8" s="77">
        <f t="shared" si="0"/>
        <v>0</v>
      </c>
    </row>
    <row r="9" spans="1:11" ht="19.5" thickBot="1" x14ac:dyDescent="0.3">
      <c r="A9" s="20" t="s">
        <v>9</v>
      </c>
      <c r="B9" s="262" t="s">
        <v>11</v>
      </c>
      <c r="C9" s="269"/>
      <c r="D9" s="247"/>
      <c r="E9" s="130"/>
      <c r="F9" s="130"/>
      <c r="G9" s="144"/>
      <c r="H9" s="236"/>
      <c r="I9" s="236"/>
      <c r="J9" s="130"/>
      <c r="K9" s="77">
        <f t="shared" si="0"/>
        <v>0</v>
      </c>
    </row>
    <row r="10" spans="1:11" ht="19.5" thickBot="1" x14ac:dyDescent="0.3">
      <c r="A10" s="20" t="s">
        <v>9</v>
      </c>
      <c r="B10" s="262" t="s">
        <v>12</v>
      </c>
      <c r="C10" s="269"/>
      <c r="D10" s="247"/>
      <c r="E10" s="130"/>
      <c r="F10" s="130"/>
      <c r="G10" s="144"/>
      <c r="H10" s="236"/>
      <c r="I10" s="236"/>
      <c r="J10" s="130"/>
      <c r="K10" s="77">
        <f t="shared" si="0"/>
        <v>0</v>
      </c>
    </row>
    <row r="11" spans="1:11" ht="19.5" thickBot="1" x14ac:dyDescent="0.3">
      <c r="A11" s="20" t="s">
        <v>9</v>
      </c>
      <c r="B11" s="262" t="s">
        <v>13</v>
      </c>
      <c r="C11" s="269"/>
      <c r="D11" s="247"/>
      <c r="E11" s="130"/>
      <c r="F11" s="130"/>
      <c r="G11" s="144"/>
      <c r="H11" s="236"/>
      <c r="I11" s="236"/>
      <c r="J11" s="130"/>
      <c r="K11" s="77">
        <f t="shared" si="0"/>
        <v>0</v>
      </c>
    </row>
    <row r="12" spans="1:11" ht="19.5" thickBot="1" x14ac:dyDescent="0.3">
      <c r="A12" s="20" t="s">
        <v>9</v>
      </c>
      <c r="B12" s="262" t="s">
        <v>14</v>
      </c>
      <c r="C12" s="269"/>
      <c r="D12" s="247"/>
      <c r="E12" s="130"/>
      <c r="F12" s="130"/>
      <c r="G12" s="144"/>
      <c r="H12" s="236"/>
      <c r="I12" s="236"/>
      <c r="J12" s="130"/>
      <c r="K12" s="77">
        <f t="shared" si="0"/>
        <v>0</v>
      </c>
    </row>
    <row r="13" spans="1:11" ht="19.5" thickBot="1" x14ac:dyDescent="0.3">
      <c r="A13" s="20" t="s">
        <v>9</v>
      </c>
      <c r="B13" s="262" t="s">
        <v>15</v>
      </c>
      <c r="C13" s="269"/>
      <c r="D13" s="247"/>
      <c r="E13" s="130"/>
      <c r="F13" s="130"/>
      <c r="G13" s="144"/>
      <c r="H13" s="236"/>
      <c r="I13" s="237"/>
      <c r="J13" s="133"/>
      <c r="K13" s="77">
        <f t="shared" si="0"/>
        <v>0</v>
      </c>
    </row>
    <row r="14" spans="1:11" ht="19.5" thickBot="1" x14ac:dyDescent="0.3">
      <c r="A14" s="20" t="s">
        <v>9</v>
      </c>
      <c r="B14" s="262" t="s">
        <v>16</v>
      </c>
      <c r="C14" s="269"/>
      <c r="D14" s="318">
        <v>1644</v>
      </c>
      <c r="E14" s="130"/>
      <c r="F14" s="130"/>
      <c r="G14" s="144"/>
      <c r="H14" s="236"/>
      <c r="I14" s="237"/>
      <c r="J14" s="133"/>
      <c r="K14" s="77">
        <f t="shared" si="0"/>
        <v>1644</v>
      </c>
    </row>
    <row r="15" spans="1:11" ht="19.5" thickBot="1" x14ac:dyDescent="0.3">
      <c r="A15" s="20" t="s">
        <v>9</v>
      </c>
      <c r="B15" s="262" t="s">
        <v>17</v>
      </c>
      <c r="C15" s="269">
        <v>311</v>
      </c>
      <c r="D15" s="247"/>
      <c r="E15" s="130"/>
      <c r="F15" s="130"/>
      <c r="G15" s="144"/>
      <c r="H15" s="236"/>
      <c r="I15" s="237"/>
      <c r="J15" s="133"/>
      <c r="K15" s="77">
        <f t="shared" si="0"/>
        <v>311</v>
      </c>
    </row>
    <row r="16" spans="1:11" ht="19.5" thickBot="1" x14ac:dyDescent="0.3">
      <c r="A16" s="21" t="s">
        <v>9</v>
      </c>
      <c r="B16" s="263" t="s">
        <v>18</v>
      </c>
      <c r="C16" s="270"/>
      <c r="D16" s="277"/>
      <c r="E16" s="134"/>
      <c r="F16" s="134"/>
      <c r="G16" s="146"/>
      <c r="H16" s="238"/>
      <c r="I16" s="239"/>
      <c r="J16" s="135"/>
      <c r="K16" s="77">
        <f t="shared" si="0"/>
        <v>0</v>
      </c>
    </row>
    <row r="17" spans="1:11" ht="24.75" thickBot="1" x14ac:dyDescent="0.3">
      <c r="A17" s="16"/>
      <c r="B17" s="217" t="s">
        <v>19</v>
      </c>
      <c r="C17" s="284">
        <f t="shared" ref="C17:J17" si="2">SUM(C8:C16)</f>
        <v>311</v>
      </c>
      <c r="D17" s="284">
        <f t="shared" si="2"/>
        <v>1644</v>
      </c>
      <c r="E17" s="285">
        <f t="shared" si="2"/>
        <v>0</v>
      </c>
      <c r="F17" s="285">
        <f t="shared" si="2"/>
        <v>0</v>
      </c>
      <c r="G17" s="286">
        <f t="shared" si="2"/>
        <v>0</v>
      </c>
      <c r="H17" s="287">
        <f>SUM(H8:H16)</f>
        <v>0</v>
      </c>
      <c r="I17" s="286">
        <f>SUM(I8:I16)</f>
        <v>0</v>
      </c>
      <c r="J17" s="287">
        <f t="shared" si="2"/>
        <v>0</v>
      </c>
      <c r="K17" s="287">
        <f t="shared" si="0"/>
        <v>1955</v>
      </c>
    </row>
    <row r="18" spans="1:11" ht="19.5" thickBot="1" x14ac:dyDescent="0.3">
      <c r="A18" s="23" t="s">
        <v>20</v>
      </c>
      <c r="B18" s="261" t="s">
        <v>21</v>
      </c>
      <c r="C18" s="77"/>
      <c r="D18" s="240"/>
      <c r="E18" s="129"/>
      <c r="F18" s="129"/>
      <c r="G18" s="141"/>
      <c r="H18" s="234"/>
      <c r="I18" s="240"/>
      <c r="J18" s="131"/>
      <c r="K18" s="77">
        <f t="shared" si="0"/>
        <v>0</v>
      </c>
    </row>
    <row r="19" spans="1:11" ht="19.5" thickBot="1" x14ac:dyDescent="0.3">
      <c r="A19" s="24" t="s">
        <v>20</v>
      </c>
      <c r="B19" s="264" t="s">
        <v>22</v>
      </c>
      <c r="C19" s="271"/>
      <c r="D19" s="242"/>
      <c r="E19" s="142"/>
      <c r="F19" s="142"/>
      <c r="G19" s="144"/>
      <c r="H19" s="241"/>
      <c r="I19" s="242"/>
      <c r="J19" s="133"/>
      <c r="K19" s="77">
        <f t="shared" si="0"/>
        <v>0</v>
      </c>
    </row>
    <row r="20" spans="1:11" ht="19.5" thickBot="1" x14ac:dyDescent="0.3">
      <c r="A20" s="27" t="s">
        <v>20</v>
      </c>
      <c r="B20" s="262" t="s">
        <v>23</v>
      </c>
      <c r="C20" s="269"/>
      <c r="D20" s="247"/>
      <c r="E20" s="130"/>
      <c r="F20" s="130"/>
      <c r="G20" s="144"/>
      <c r="H20" s="236"/>
      <c r="I20" s="242"/>
      <c r="J20" s="133"/>
      <c r="K20" s="77">
        <f t="shared" si="0"/>
        <v>0</v>
      </c>
    </row>
    <row r="21" spans="1:11" ht="19.5" thickBot="1" x14ac:dyDescent="0.3">
      <c r="A21" s="27" t="s">
        <v>20</v>
      </c>
      <c r="B21" s="262" t="s">
        <v>24</v>
      </c>
      <c r="C21" s="269"/>
      <c r="D21" s="247"/>
      <c r="E21" s="243"/>
      <c r="F21" s="130"/>
      <c r="G21" s="144"/>
      <c r="H21" s="236"/>
      <c r="I21" s="242"/>
      <c r="J21" s="133"/>
      <c r="K21" s="77">
        <f t="shared" si="0"/>
        <v>0</v>
      </c>
    </row>
    <row r="22" spans="1:11" ht="19.5" thickBot="1" x14ac:dyDescent="0.3">
      <c r="A22" s="27" t="s">
        <v>20</v>
      </c>
      <c r="B22" s="262" t="s">
        <v>25</v>
      </c>
      <c r="C22" s="269"/>
      <c r="D22" s="247"/>
      <c r="E22" s="130"/>
      <c r="F22" s="130"/>
      <c r="G22" s="146"/>
      <c r="H22" s="236"/>
      <c r="I22" s="244"/>
      <c r="J22" s="135"/>
      <c r="K22" s="77">
        <f t="shared" si="0"/>
        <v>0</v>
      </c>
    </row>
    <row r="23" spans="1:11" ht="19.5" thickBot="1" x14ac:dyDescent="0.3">
      <c r="A23" s="27" t="s">
        <v>20</v>
      </c>
      <c r="B23" s="265" t="s">
        <v>26</v>
      </c>
      <c r="C23" s="272"/>
      <c r="D23" s="278"/>
      <c r="E23" s="147"/>
      <c r="F23" s="147"/>
      <c r="G23" s="246"/>
      <c r="H23" s="245"/>
      <c r="I23" s="247"/>
      <c r="J23" s="248"/>
      <c r="K23" s="77">
        <f t="shared" si="0"/>
        <v>0</v>
      </c>
    </row>
    <row r="24" spans="1:11" ht="19.5" thickBot="1" x14ac:dyDescent="0.3">
      <c r="A24" s="30" t="s">
        <v>20</v>
      </c>
      <c r="B24" s="263" t="s">
        <v>27</v>
      </c>
      <c r="C24" s="270"/>
      <c r="D24" s="277"/>
      <c r="E24" s="134"/>
      <c r="F24" s="134"/>
      <c r="G24" s="146"/>
      <c r="H24" s="238"/>
      <c r="I24" s="249"/>
      <c r="J24" s="135"/>
      <c r="K24" s="77">
        <f t="shared" si="0"/>
        <v>0</v>
      </c>
    </row>
    <row r="25" spans="1:11" ht="24.75" thickBot="1" x14ac:dyDescent="0.3">
      <c r="A25" s="16"/>
      <c r="B25" s="217" t="s">
        <v>28</v>
      </c>
      <c r="C25" s="288">
        <f t="shared" ref="C25:J25" si="3">SUM(C18:C24)</f>
        <v>0</v>
      </c>
      <c r="D25" s="288">
        <f t="shared" si="3"/>
        <v>0</v>
      </c>
      <c r="E25" s="289">
        <f t="shared" si="3"/>
        <v>0</v>
      </c>
      <c r="F25" s="289">
        <f t="shared" si="3"/>
        <v>0</v>
      </c>
      <c r="G25" s="290">
        <f t="shared" si="3"/>
        <v>0</v>
      </c>
      <c r="H25" s="291">
        <f>SUM(H18:H24)</f>
        <v>0</v>
      </c>
      <c r="I25" s="291">
        <f t="shared" si="3"/>
        <v>0</v>
      </c>
      <c r="J25" s="291">
        <f t="shared" si="3"/>
        <v>0</v>
      </c>
      <c r="K25" s="291">
        <f t="shared" si="0"/>
        <v>0</v>
      </c>
    </row>
    <row r="26" spans="1:11" ht="19.5" thickBot="1" x14ac:dyDescent="0.3">
      <c r="A26" s="33" t="s">
        <v>29</v>
      </c>
      <c r="B26" s="266" t="s">
        <v>30</v>
      </c>
      <c r="C26" s="80"/>
      <c r="D26" s="279"/>
      <c r="E26" s="156"/>
      <c r="F26" s="156"/>
      <c r="G26" s="251"/>
      <c r="H26" s="250"/>
      <c r="I26" s="252"/>
      <c r="J26" s="157"/>
      <c r="K26" s="77">
        <f t="shared" si="0"/>
        <v>0</v>
      </c>
    </row>
    <row r="27" spans="1:11" ht="19.5" thickBot="1" x14ac:dyDescent="0.3">
      <c r="A27" s="37" t="s">
        <v>29</v>
      </c>
      <c r="B27" s="267" t="s">
        <v>31</v>
      </c>
      <c r="C27" s="273"/>
      <c r="D27" s="280"/>
      <c r="E27" s="158"/>
      <c r="F27" s="158"/>
      <c r="G27" s="254"/>
      <c r="H27" s="253"/>
      <c r="I27" s="255"/>
      <c r="J27" s="159"/>
      <c r="K27" s="77">
        <f t="shared" si="0"/>
        <v>0</v>
      </c>
    </row>
    <row r="28" spans="1:11" ht="19.5" thickBot="1" x14ac:dyDescent="0.3">
      <c r="A28" s="37" t="s">
        <v>29</v>
      </c>
      <c r="B28" s="267" t="s">
        <v>32</v>
      </c>
      <c r="C28" s="273"/>
      <c r="D28" s="280"/>
      <c r="E28" s="158"/>
      <c r="F28" s="158"/>
      <c r="G28" s="254"/>
      <c r="H28" s="253"/>
      <c r="I28" s="255"/>
      <c r="J28" s="159"/>
      <c r="K28" s="77">
        <f t="shared" si="0"/>
        <v>0</v>
      </c>
    </row>
    <row r="29" spans="1:11" ht="19.5" thickBot="1" x14ac:dyDescent="0.3">
      <c r="A29" s="41" t="s">
        <v>29</v>
      </c>
      <c r="B29" s="268" t="s">
        <v>33</v>
      </c>
      <c r="C29" s="274"/>
      <c r="D29" s="281"/>
      <c r="E29" s="160"/>
      <c r="F29" s="160"/>
      <c r="G29" s="257"/>
      <c r="H29" s="256"/>
      <c r="I29" s="258"/>
      <c r="J29" s="161"/>
      <c r="K29" s="77">
        <f t="shared" si="0"/>
        <v>0</v>
      </c>
    </row>
    <row r="30" spans="1:11" ht="24.75" thickBot="1" x14ac:dyDescent="0.3">
      <c r="A30" s="16"/>
      <c r="B30" s="217" t="s">
        <v>34</v>
      </c>
      <c r="C30" s="292">
        <f t="shared" ref="C30:J30" si="4">SUM(C26:C29)</f>
        <v>0</v>
      </c>
      <c r="D30" s="292">
        <f t="shared" si="4"/>
        <v>0</v>
      </c>
      <c r="E30" s="293">
        <f t="shared" si="4"/>
        <v>0</v>
      </c>
      <c r="F30" s="293">
        <f t="shared" si="4"/>
        <v>0</v>
      </c>
      <c r="G30" s="294">
        <f t="shared" si="4"/>
        <v>0</v>
      </c>
      <c r="H30" s="295">
        <f>SUM(H26:H29)</f>
        <v>0</v>
      </c>
      <c r="I30" s="295">
        <f t="shared" si="4"/>
        <v>0</v>
      </c>
      <c r="J30" s="295">
        <f t="shared" si="4"/>
        <v>0</v>
      </c>
      <c r="K30" s="295">
        <f t="shared" si="0"/>
        <v>0</v>
      </c>
    </row>
    <row r="31" spans="1:11" ht="19.5" thickBot="1" x14ac:dyDescent="0.3">
      <c r="A31" s="47" t="s">
        <v>35</v>
      </c>
      <c r="B31" s="261" t="s">
        <v>36</v>
      </c>
      <c r="C31" s="77"/>
      <c r="D31" s="279"/>
      <c r="E31" s="156"/>
      <c r="F31" s="156"/>
      <c r="G31" s="251"/>
      <c r="H31" s="250"/>
      <c r="I31" s="252"/>
      <c r="J31" s="157"/>
      <c r="K31" s="77">
        <f t="shared" si="0"/>
        <v>0</v>
      </c>
    </row>
    <row r="32" spans="1:11" ht="19.5" thickBot="1" x14ac:dyDescent="0.3">
      <c r="A32" s="48" t="s">
        <v>35</v>
      </c>
      <c r="B32" s="262" t="s">
        <v>37</v>
      </c>
      <c r="C32" s="269"/>
      <c r="D32" s="280"/>
      <c r="E32" s="158"/>
      <c r="F32" s="158"/>
      <c r="G32" s="254"/>
      <c r="H32" s="253"/>
      <c r="I32" s="255"/>
      <c r="J32" s="159"/>
      <c r="K32" s="77">
        <f t="shared" si="0"/>
        <v>0</v>
      </c>
    </row>
    <row r="33" spans="1:11" ht="19.5" thickBot="1" x14ac:dyDescent="0.3">
      <c r="A33" s="49" t="s">
        <v>35</v>
      </c>
      <c r="B33" s="263" t="s">
        <v>38</v>
      </c>
      <c r="C33" s="270"/>
      <c r="D33" s="281"/>
      <c r="E33" s="160"/>
      <c r="F33" s="160"/>
      <c r="G33" s="257"/>
      <c r="H33" s="256"/>
      <c r="I33" s="258"/>
      <c r="J33" s="161"/>
      <c r="K33" s="77">
        <f t="shared" si="0"/>
        <v>0</v>
      </c>
    </row>
    <row r="34" spans="1:11" ht="24.75" thickBot="1" x14ac:dyDescent="0.3">
      <c r="A34" s="16"/>
      <c r="B34" s="217" t="s">
        <v>39</v>
      </c>
      <c r="C34" s="296">
        <f t="shared" ref="C34:I34" si="5">SUM(C31:C33)</f>
        <v>0</v>
      </c>
      <c r="D34" s="296">
        <f t="shared" si="5"/>
        <v>0</v>
      </c>
      <c r="E34" s="297">
        <f t="shared" si="5"/>
        <v>0</v>
      </c>
      <c r="F34" s="297">
        <f t="shared" si="5"/>
        <v>0</v>
      </c>
      <c r="G34" s="298">
        <f t="shared" si="5"/>
        <v>0</v>
      </c>
      <c r="H34" s="299">
        <f t="shared" si="5"/>
        <v>0</v>
      </c>
      <c r="I34" s="299">
        <f t="shared" si="5"/>
        <v>0</v>
      </c>
      <c r="J34" s="299">
        <v>0</v>
      </c>
      <c r="K34" s="299">
        <f>SUM(C34:J34)</f>
        <v>0</v>
      </c>
    </row>
    <row r="35" spans="1:11" ht="19.5" thickBot="1" x14ac:dyDescent="0.3">
      <c r="A35" s="68" t="s">
        <v>40</v>
      </c>
      <c r="B35" s="218" t="s">
        <v>40</v>
      </c>
      <c r="C35" s="275"/>
      <c r="D35" s="275"/>
      <c r="E35" s="259"/>
      <c r="F35" s="259"/>
      <c r="G35" s="259"/>
      <c r="H35" s="259"/>
      <c r="I35" s="259"/>
      <c r="J35" s="259"/>
      <c r="K35" s="259">
        <f t="shared" si="0"/>
        <v>0</v>
      </c>
    </row>
    <row r="36" spans="1:11" ht="19.5" thickBot="1" x14ac:dyDescent="0.3">
      <c r="A36" s="52"/>
      <c r="B36" s="217" t="s">
        <v>41</v>
      </c>
      <c r="C36" s="260">
        <f t="shared" ref="C36:J36" si="6">SUM(C7,C17,C25,C30,C34,C35)</f>
        <v>311</v>
      </c>
      <c r="D36" s="260">
        <f>SUM(D7,D17,D25,D30,D34,D35)</f>
        <v>1644</v>
      </c>
      <c r="E36" s="260">
        <f t="shared" si="6"/>
        <v>0</v>
      </c>
      <c r="F36" s="260">
        <f t="shared" si="6"/>
        <v>0</v>
      </c>
      <c r="G36" s="260">
        <f t="shared" si="6"/>
        <v>0</v>
      </c>
      <c r="H36" s="260">
        <f t="shared" si="6"/>
        <v>0</v>
      </c>
      <c r="I36" s="260">
        <f t="shared" si="6"/>
        <v>0</v>
      </c>
      <c r="J36" s="260">
        <f t="shared" si="6"/>
        <v>0</v>
      </c>
      <c r="K36" s="260">
        <f t="shared" si="0"/>
        <v>1955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1646-C181-4C7E-B19B-1F612EBF72D9}">
  <sheetPr codeName="Planilha5"/>
  <dimension ref="A1:M39"/>
  <sheetViews>
    <sheetView topLeftCell="A2" zoomScale="55" zoomScaleNormal="55" workbookViewId="0">
      <selection activeCell="H39" sqref="H39"/>
    </sheetView>
  </sheetViews>
  <sheetFormatPr defaultRowHeight="15" x14ac:dyDescent="0.25"/>
  <cols>
    <col min="1" max="1" width="20.140625" bestFit="1" customWidth="1"/>
    <col min="2" max="2" width="27.5703125" bestFit="1" customWidth="1"/>
    <col min="3" max="3" width="27.5703125" customWidth="1"/>
    <col min="4" max="4" width="26.42578125" bestFit="1" customWidth="1"/>
    <col min="5" max="5" width="23.28515625" bestFit="1" customWidth="1"/>
    <col min="6" max="6" width="30.28515625" customWidth="1"/>
    <col min="7" max="7" width="44.28515625" customWidth="1"/>
    <col min="8" max="9" width="30.85546875" customWidth="1"/>
    <col min="10" max="10" width="35.42578125" customWidth="1"/>
    <col min="11" max="11" width="16.7109375" bestFit="1" customWidth="1"/>
    <col min="14" max="14" width="23" customWidth="1"/>
    <col min="16" max="17" width="10.42578125" customWidth="1"/>
  </cols>
  <sheetData>
    <row r="1" spans="1:13" ht="114" hidden="1" customHeight="1" thickBot="1" x14ac:dyDescent="0.3">
      <c r="A1" s="368" t="s">
        <v>46</v>
      </c>
      <c r="B1" s="369"/>
      <c r="C1" s="369"/>
      <c r="D1" s="369"/>
      <c r="E1" s="369"/>
      <c r="F1" s="369"/>
      <c r="G1" s="369"/>
      <c r="H1" s="369"/>
      <c r="I1" s="369"/>
      <c r="J1" s="369"/>
      <c r="K1" s="370"/>
    </row>
    <row r="2" spans="1:13" ht="21.75" thickBot="1" x14ac:dyDescent="0.3">
      <c r="A2" s="341" t="s">
        <v>42</v>
      </c>
      <c r="B2" s="342"/>
      <c r="C2" s="342"/>
      <c r="D2" s="342"/>
      <c r="E2" s="342"/>
      <c r="F2" s="342"/>
      <c r="G2" s="342"/>
      <c r="H2" s="342"/>
      <c r="I2" s="342"/>
      <c r="J2" s="342"/>
      <c r="K2" s="343"/>
    </row>
    <row r="3" spans="1:13" ht="113.25" thickBot="1" x14ac:dyDescent="0.3">
      <c r="A3" s="1" t="s">
        <v>0</v>
      </c>
      <c r="B3" s="1" t="s">
        <v>1</v>
      </c>
      <c r="C3" s="2" t="s">
        <v>45</v>
      </c>
      <c r="D3" s="3" t="s">
        <v>47</v>
      </c>
      <c r="E3" s="3" t="s">
        <v>43</v>
      </c>
      <c r="F3" s="2" t="s">
        <v>93</v>
      </c>
      <c r="G3" s="2" t="s">
        <v>62</v>
      </c>
      <c r="H3" s="2" t="s">
        <v>60</v>
      </c>
      <c r="I3" s="2" t="s">
        <v>44</v>
      </c>
      <c r="J3" s="2" t="s">
        <v>61</v>
      </c>
      <c r="K3" s="3" t="s">
        <v>2</v>
      </c>
    </row>
    <row r="4" spans="1:13" ht="19.5" thickBot="1" x14ac:dyDescent="0.3">
      <c r="A4" s="4" t="s">
        <v>3</v>
      </c>
      <c r="B4" s="5" t="s">
        <v>4</v>
      </c>
      <c r="C4" s="105">
        <v>0</v>
      </c>
      <c r="D4" s="82">
        <v>14</v>
      </c>
      <c r="E4" s="6">
        <v>0</v>
      </c>
      <c r="F4" s="6">
        <v>0</v>
      </c>
      <c r="G4" s="59">
        <v>35</v>
      </c>
      <c r="H4" s="82">
        <v>33</v>
      </c>
      <c r="I4" s="90">
        <v>14</v>
      </c>
      <c r="J4" s="8">
        <v>0</v>
      </c>
      <c r="K4" s="77">
        <f>SUM(D4:J4)</f>
        <v>96</v>
      </c>
      <c r="M4" s="112"/>
    </row>
    <row r="5" spans="1:13" ht="19.5" thickBot="1" x14ac:dyDescent="0.3">
      <c r="A5" s="9" t="s">
        <v>3</v>
      </c>
      <c r="B5" s="10" t="s">
        <v>5</v>
      </c>
      <c r="C5" s="106">
        <v>0</v>
      </c>
      <c r="D5" s="83">
        <v>10</v>
      </c>
      <c r="E5" s="7">
        <v>0</v>
      </c>
      <c r="F5" s="7">
        <v>0</v>
      </c>
      <c r="G5" s="60">
        <v>43</v>
      </c>
      <c r="H5" s="83">
        <v>32</v>
      </c>
      <c r="I5" s="91">
        <v>0</v>
      </c>
      <c r="J5" s="11">
        <v>0</v>
      </c>
      <c r="K5" s="77">
        <f>SUM(D5:J5)</f>
        <v>85</v>
      </c>
      <c r="M5" s="112"/>
    </row>
    <row r="6" spans="1:13" ht="19.5" thickBot="1" x14ac:dyDescent="0.3">
      <c r="A6" s="9" t="s">
        <v>3</v>
      </c>
      <c r="B6" s="10" t="s">
        <v>6</v>
      </c>
      <c r="C6" s="106">
        <v>2</v>
      </c>
      <c r="D6" s="83">
        <v>5</v>
      </c>
      <c r="E6" s="7">
        <v>0</v>
      </c>
      <c r="F6" s="7">
        <v>0</v>
      </c>
      <c r="G6" s="60">
        <v>14</v>
      </c>
      <c r="H6" s="83">
        <v>13</v>
      </c>
      <c r="I6" s="91">
        <v>0</v>
      </c>
      <c r="J6" s="11">
        <v>0</v>
      </c>
      <c r="K6" s="77">
        <f>SUM(D6:J6)</f>
        <v>32</v>
      </c>
      <c r="M6" s="112"/>
    </row>
    <row r="7" spans="1:13" ht="19.5" thickBot="1" x14ac:dyDescent="0.3">
      <c r="A7" s="12" t="s">
        <v>3</v>
      </c>
      <c r="B7" s="13" t="s">
        <v>7</v>
      </c>
      <c r="C7" s="107">
        <v>1</v>
      </c>
      <c r="D7" s="84">
        <v>7</v>
      </c>
      <c r="E7" s="14">
        <v>0</v>
      </c>
      <c r="F7" s="14">
        <v>0</v>
      </c>
      <c r="G7" s="61">
        <v>29</v>
      </c>
      <c r="H7" s="84">
        <v>34</v>
      </c>
      <c r="I7" s="92">
        <v>18</v>
      </c>
      <c r="J7" s="15">
        <v>0</v>
      </c>
      <c r="K7" s="77">
        <f>SUM(D7:J7)</f>
        <v>88</v>
      </c>
      <c r="M7" s="112"/>
    </row>
    <row r="8" spans="1:13" ht="24.75" thickBot="1" x14ac:dyDescent="0.3">
      <c r="A8" s="16"/>
      <c r="B8" s="1" t="s">
        <v>8</v>
      </c>
      <c r="C8" s="17">
        <f>SUM(C4:C7)</f>
        <v>3</v>
      </c>
      <c r="D8" s="17">
        <f t="shared" ref="D8:J8" si="0">SUM(D4:D7)</f>
        <v>36</v>
      </c>
      <c r="E8" s="17">
        <f t="shared" si="0"/>
        <v>0</v>
      </c>
      <c r="F8" s="17">
        <f t="shared" si="0"/>
        <v>0</v>
      </c>
      <c r="G8" s="18">
        <f t="shared" si="0"/>
        <v>121</v>
      </c>
      <c r="H8" s="55">
        <f>SUM(H4:H7)</f>
        <v>112</v>
      </c>
      <c r="I8" s="55">
        <f t="shared" si="0"/>
        <v>32</v>
      </c>
      <c r="J8" s="55">
        <f t="shared" si="0"/>
        <v>0</v>
      </c>
      <c r="K8" s="71">
        <f>SUM(C8:J8)</f>
        <v>304</v>
      </c>
    </row>
    <row r="9" spans="1:13" ht="19.5" thickBot="1" x14ac:dyDescent="0.3">
      <c r="A9" s="19" t="s">
        <v>9</v>
      </c>
      <c r="B9" s="5" t="s">
        <v>10</v>
      </c>
      <c r="C9" s="105">
        <v>0</v>
      </c>
      <c r="D9" s="82">
        <v>12</v>
      </c>
      <c r="E9" s="6">
        <v>0</v>
      </c>
      <c r="F9" s="6">
        <v>9</v>
      </c>
      <c r="G9" s="59">
        <v>76</v>
      </c>
      <c r="H9" s="82">
        <v>44</v>
      </c>
      <c r="I9" s="90">
        <v>10</v>
      </c>
      <c r="J9" s="8">
        <v>0</v>
      </c>
      <c r="K9" s="77">
        <f>SUM(D9:J9)</f>
        <v>151</v>
      </c>
      <c r="M9" s="112"/>
    </row>
    <row r="10" spans="1:13" ht="19.5" thickBot="1" x14ac:dyDescent="0.3">
      <c r="A10" s="20" t="s">
        <v>9</v>
      </c>
      <c r="B10" s="10" t="s">
        <v>11</v>
      </c>
      <c r="C10" s="106">
        <v>0</v>
      </c>
      <c r="D10" s="83">
        <v>29</v>
      </c>
      <c r="E10" s="7">
        <v>0</v>
      </c>
      <c r="F10" s="7">
        <v>4</v>
      </c>
      <c r="G10" s="60">
        <v>60</v>
      </c>
      <c r="H10" s="83">
        <v>68</v>
      </c>
      <c r="I10" s="91">
        <v>9</v>
      </c>
      <c r="J10" s="11">
        <v>0</v>
      </c>
      <c r="K10" s="77">
        <f t="shared" ref="K10:K17" si="1">SUM(D10:J10)</f>
        <v>170</v>
      </c>
      <c r="M10" s="112"/>
    </row>
    <row r="11" spans="1:13" ht="19.5" thickBot="1" x14ac:dyDescent="0.3">
      <c r="A11" s="20" t="s">
        <v>9</v>
      </c>
      <c r="B11" s="10" t="s">
        <v>12</v>
      </c>
      <c r="C11" s="106">
        <v>0</v>
      </c>
      <c r="D11" s="83">
        <v>33</v>
      </c>
      <c r="E11" s="7">
        <v>0</v>
      </c>
      <c r="F11" s="7">
        <v>10</v>
      </c>
      <c r="G11" s="60">
        <v>79</v>
      </c>
      <c r="H11" s="83">
        <v>55</v>
      </c>
      <c r="I11" s="91">
        <v>1</v>
      </c>
      <c r="J11" s="11">
        <v>0</v>
      </c>
      <c r="K11" s="77">
        <f t="shared" si="1"/>
        <v>178</v>
      </c>
      <c r="M11" s="112"/>
    </row>
    <row r="12" spans="1:13" ht="19.5" thickBot="1" x14ac:dyDescent="0.3">
      <c r="A12" s="20" t="s">
        <v>9</v>
      </c>
      <c r="B12" s="10" t="s">
        <v>13</v>
      </c>
      <c r="C12" s="106">
        <v>1</v>
      </c>
      <c r="D12" s="83">
        <v>16</v>
      </c>
      <c r="E12" s="7">
        <v>0</v>
      </c>
      <c r="F12" s="7">
        <v>3</v>
      </c>
      <c r="G12" s="60">
        <v>33</v>
      </c>
      <c r="H12" s="83">
        <v>32</v>
      </c>
      <c r="I12" s="91">
        <v>9</v>
      </c>
      <c r="J12" s="11">
        <v>0</v>
      </c>
      <c r="K12" s="77">
        <f t="shared" si="1"/>
        <v>93</v>
      </c>
      <c r="M12" s="112"/>
    </row>
    <row r="13" spans="1:13" ht="19.5" thickBot="1" x14ac:dyDescent="0.3">
      <c r="A13" s="20" t="s">
        <v>9</v>
      </c>
      <c r="B13" s="10" t="s">
        <v>14</v>
      </c>
      <c r="C13" s="106">
        <v>0</v>
      </c>
      <c r="D13" s="83">
        <v>25</v>
      </c>
      <c r="E13" s="7">
        <v>0</v>
      </c>
      <c r="F13" s="7">
        <v>12</v>
      </c>
      <c r="G13" s="60">
        <v>44</v>
      </c>
      <c r="H13" s="83">
        <v>41</v>
      </c>
      <c r="I13" s="91">
        <v>0</v>
      </c>
      <c r="J13" s="11">
        <v>0</v>
      </c>
      <c r="K13" s="77">
        <f t="shared" si="1"/>
        <v>122</v>
      </c>
      <c r="M13" s="112"/>
    </row>
    <row r="14" spans="1:13" ht="19.5" thickBot="1" x14ac:dyDescent="0.3">
      <c r="A14" s="20" t="s">
        <v>9</v>
      </c>
      <c r="B14" s="10" t="s">
        <v>15</v>
      </c>
      <c r="C14" s="106">
        <v>0</v>
      </c>
      <c r="D14" s="83">
        <v>27</v>
      </c>
      <c r="E14" s="7">
        <v>0</v>
      </c>
      <c r="F14" s="7">
        <v>14</v>
      </c>
      <c r="G14" s="60">
        <v>74</v>
      </c>
      <c r="H14" s="83">
        <v>70</v>
      </c>
      <c r="I14" s="91">
        <v>88</v>
      </c>
      <c r="J14" s="11">
        <v>0</v>
      </c>
      <c r="K14" s="77">
        <f t="shared" si="1"/>
        <v>273</v>
      </c>
      <c r="M14" s="112"/>
    </row>
    <row r="15" spans="1:13" ht="19.5" thickBot="1" x14ac:dyDescent="0.3">
      <c r="A15" s="20" t="s">
        <v>9</v>
      </c>
      <c r="B15" s="10" t="s">
        <v>16</v>
      </c>
      <c r="C15" s="106">
        <v>0</v>
      </c>
      <c r="D15" s="83">
        <v>8</v>
      </c>
      <c r="E15" s="7">
        <v>0</v>
      </c>
      <c r="F15" s="7">
        <v>4</v>
      </c>
      <c r="G15" s="60">
        <v>26</v>
      </c>
      <c r="H15" s="83">
        <v>34</v>
      </c>
      <c r="I15" s="91">
        <v>15</v>
      </c>
      <c r="J15" s="11">
        <v>0</v>
      </c>
      <c r="K15" s="77">
        <f t="shared" si="1"/>
        <v>87</v>
      </c>
      <c r="M15" s="112"/>
    </row>
    <row r="16" spans="1:13" ht="19.5" thickBot="1" x14ac:dyDescent="0.3">
      <c r="A16" s="20" t="s">
        <v>9</v>
      </c>
      <c r="B16" s="10" t="s">
        <v>17</v>
      </c>
      <c r="C16" s="106">
        <v>0</v>
      </c>
      <c r="D16" s="83">
        <v>8</v>
      </c>
      <c r="E16" s="7">
        <v>0</v>
      </c>
      <c r="F16" s="7">
        <v>7</v>
      </c>
      <c r="G16" s="60">
        <v>89</v>
      </c>
      <c r="H16" s="83">
        <v>65</v>
      </c>
      <c r="I16" s="91">
        <v>31</v>
      </c>
      <c r="J16" s="11">
        <v>0</v>
      </c>
      <c r="K16" s="77">
        <f t="shared" si="1"/>
        <v>200</v>
      </c>
      <c r="M16" s="112"/>
    </row>
    <row r="17" spans="1:13" ht="19.5" thickBot="1" x14ac:dyDescent="0.3">
      <c r="A17" s="21" t="s">
        <v>9</v>
      </c>
      <c r="B17" s="13" t="s">
        <v>18</v>
      </c>
      <c r="C17" s="107">
        <v>0</v>
      </c>
      <c r="D17" s="84">
        <v>6</v>
      </c>
      <c r="E17" s="14">
        <v>0</v>
      </c>
      <c r="F17" s="14">
        <v>6</v>
      </c>
      <c r="G17" s="61">
        <v>19</v>
      </c>
      <c r="H17" s="84">
        <v>52</v>
      </c>
      <c r="I17" s="92">
        <v>28</v>
      </c>
      <c r="J17" s="15">
        <v>0</v>
      </c>
      <c r="K17" s="77">
        <f t="shared" si="1"/>
        <v>111</v>
      </c>
      <c r="M17" s="112"/>
    </row>
    <row r="18" spans="1:13" ht="24.75" thickBot="1" x14ac:dyDescent="0.3">
      <c r="A18" s="16"/>
      <c r="B18" s="1" t="s">
        <v>19</v>
      </c>
      <c r="C18" s="22">
        <f t="shared" ref="C18:J18" si="2">SUM(C9:C17)</f>
        <v>1</v>
      </c>
      <c r="D18" s="22">
        <f t="shared" si="2"/>
        <v>164</v>
      </c>
      <c r="E18" s="22">
        <f t="shared" si="2"/>
        <v>0</v>
      </c>
      <c r="F18" s="22">
        <f t="shared" si="2"/>
        <v>69</v>
      </c>
      <c r="G18" s="62">
        <f t="shared" si="2"/>
        <v>500</v>
      </c>
      <c r="H18" s="53">
        <f t="shared" si="2"/>
        <v>461</v>
      </c>
      <c r="I18" s="62">
        <f t="shared" si="2"/>
        <v>191</v>
      </c>
      <c r="J18" s="53">
        <f t="shared" si="2"/>
        <v>0</v>
      </c>
      <c r="K18" s="72">
        <f>SUM(C18:J18)</f>
        <v>1386</v>
      </c>
    </row>
    <row r="19" spans="1:13" ht="19.5" thickBot="1" x14ac:dyDescent="0.3">
      <c r="A19" s="23" t="s">
        <v>20</v>
      </c>
      <c r="B19" s="5" t="s">
        <v>21</v>
      </c>
      <c r="C19" s="105">
        <v>0</v>
      </c>
      <c r="D19" s="82">
        <v>4</v>
      </c>
      <c r="E19" s="6">
        <v>0</v>
      </c>
      <c r="F19" s="6">
        <v>0</v>
      </c>
      <c r="G19" s="59">
        <v>1</v>
      </c>
      <c r="H19" s="82">
        <v>3</v>
      </c>
      <c r="I19" s="96">
        <v>0</v>
      </c>
      <c r="J19" s="8">
        <v>0</v>
      </c>
      <c r="K19" s="77">
        <f t="shared" ref="K19:K25" si="3">SUM(D19:J19)</f>
        <v>8</v>
      </c>
      <c r="M19" s="112"/>
    </row>
    <row r="20" spans="1:13" ht="19.5" thickBot="1" x14ac:dyDescent="0.3">
      <c r="A20" s="24" t="s">
        <v>20</v>
      </c>
      <c r="B20" s="25" t="s">
        <v>22</v>
      </c>
      <c r="C20" s="108">
        <v>0</v>
      </c>
      <c r="D20" s="85">
        <v>1</v>
      </c>
      <c r="E20" s="26">
        <v>0</v>
      </c>
      <c r="F20" s="26">
        <v>0</v>
      </c>
      <c r="G20" s="60">
        <v>9</v>
      </c>
      <c r="H20" s="85">
        <v>8</v>
      </c>
      <c r="I20" s="97">
        <v>15</v>
      </c>
      <c r="J20" s="11">
        <v>0</v>
      </c>
      <c r="K20" s="77">
        <f t="shared" si="3"/>
        <v>33</v>
      </c>
      <c r="M20" s="112"/>
    </row>
    <row r="21" spans="1:13" ht="19.5" thickBot="1" x14ac:dyDescent="0.3">
      <c r="A21" s="27" t="s">
        <v>20</v>
      </c>
      <c r="B21" s="10" t="s">
        <v>23</v>
      </c>
      <c r="C21" s="106">
        <v>0</v>
      </c>
      <c r="D21" s="83">
        <v>3</v>
      </c>
      <c r="E21" s="7">
        <v>0</v>
      </c>
      <c r="F21" s="7">
        <v>0</v>
      </c>
      <c r="G21" s="60">
        <v>52</v>
      </c>
      <c r="H21" s="83">
        <v>29</v>
      </c>
      <c r="I21" s="97">
        <v>76</v>
      </c>
      <c r="J21" s="11">
        <v>0</v>
      </c>
      <c r="K21" s="77">
        <f t="shared" si="3"/>
        <v>160</v>
      </c>
      <c r="M21" s="112"/>
    </row>
    <row r="22" spans="1:13" ht="19.5" thickBot="1" x14ac:dyDescent="0.3">
      <c r="A22" s="27" t="s">
        <v>20</v>
      </c>
      <c r="B22" s="10" t="s">
        <v>24</v>
      </c>
      <c r="C22" s="106">
        <v>2</v>
      </c>
      <c r="D22" s="83">
        <v>19</v>
      </c>
      <c r="E22" s="101">
        <v>3109</v>
      </c>
      <c r="F22" s="7">
        <v>0</v>
      </c>
      <c r="G22" s="60">
        <v>54</v>
      </c>
      <c r="H22" s="83">
        <v>79</v>
      </c>
      <c r="I22" s="97">
        <v>316</v>
      </c>
      <c r="J22" s="11">
        <v>0</v>
      </c>
      <c r="K22" s="77">
        <f t="shared" si="3"/>
        <v>3577</v>
      </c>
      <c r="M22" s="112"/>
    </row>
    <row r="23" spans="1:13" ht="19.5" thickBot="1" x14ac:dyDescent="0.3">
      <c r="A23" s="27" t="s">
        <v>20</v>
      </c>
      <c r="B23" s="10" t="s">
        <v>25</v>
      </c>
      <c r="C23" s="106">
        <v>0</v>
      </c>
      <c r="D23" s="83">
        <v>0</v>
      </c>
      <c r="E23" s="7">
        <v>0</v>
      </c>
      <c r="F23" s="7">
        <v>0</v>
      </c>
      <c r="G23" s="61">
        <v>11</v>
      </c>
      <c r="H23" s="83">
        <v>2</v>
      </c>
      <c r="I23" s="98">
        <v>13</v>
      </c>
      <c r="J23" s="15">
        <v>0</v>
      </c>
      <c r="K23" s="77">
        <f t="shared" si="3"/>
        <v>26</v>
      </c>
      <c r="M23" s="112"/>
    </row>
    <row r="24" spans="1:13" ht="19.5" thickBot="1" x14ac:dyDescent="0.3">
      <c r="A24" s="27" t="s">
        <v>20</v>
      </c>
      <c r="B24" s="28" t="s">
        <v>26</v>
      </c>
      <c r="C24" s="109">
        <v>0</v>
      </c>
      <c r="D24" s="86">
        <v>3</v>
      </c>
      <c r="E24" s="29">
        <v>0</v>
      </c>
      <c r="F24" s="29">
        <v>0</v>
      </c>
      <c r="G24" s="63">
        <v>19</v>
      </c>
      <c r="H24" s="86">
        <v>0</v>
      </c>
      <c r="I24" s="99">
        <v>2</v>
      </c>
      <c r="J24" s="54">
        <v>0</v>
      </c>
      <c r="K24" s="78">
        <f t="shared" si="3"/>
        <v>24</v>
      </c>
      <c r="M24" s="112"/>
    </row>
    <row r="25" spans="1:13" ht="19.5" thickBot="1" x14ac:dyDescent="0.3">
      <c r="A25" s="30" t="s">
        <v>20</v>
      </c>
      <c r="B25" s="13" t="s">
        <v>27</v>
      </c>
      <c r="C25" s="107">
        <v>0</v>
      </c>
      <c r="D25" s="84">
        <v>7</v>
      </c>
      <c r="E25" s="14">
        <v>0</v>
      </c>
      <c r="F25" s="14">
        <v>0</v>
      </c>
      <c r="G25" s="61">
        <v>9</v>
      </c>
      <c r="H25" s="84">
        <v>55</v>
      </c>
      <c r="I25" s="100">
        <v>0</v>
      </c>
      <c r="J25" s="15">
        <v>0</v>
      </c>
      <c r="K25" s="79">
        <f t="shared" si="3"/>
        <v>71</v>
      </c>
      <c r="M25" s="112"/>
    </row>
    <row r="26" spans="1:13" ht="24.75" thickBot="1" x14ac:dyDescent="0.3">
      <c r="A26" s="16"/>
      <c r="B26" s="1" t="s">
        <v>28</v>
      </c>
      <c r="C26" s="31">
        <f t="shared" ref="C26:J26" si="4">SUM(C19:C25)</f>
        <v>2</v>
      </c>
      <c r="D26" s="31">
        <f t="shared" si="4"/>
        <v>37</v>
      </c>
      <c r="E26" s="31">
        <f t="shared" si="4"/>
        <v>3109</v>
      </c>
      <c r="F26" s="31">
        <f t="shared" si="4"/>
        <v>0</v>
      </c>
      <c r="G26" s="32">
        <f t="shared" si="4"/>
        <v>155</v>
      </c>
      <c r="H26" s="56">
        <f>SUM(H19:H25)</f>
        <v>176</v>
      </c>
      <c r="I26" s="56">
        <f t="shared" si="4"/>
        <v>422</v>
      </c>
      <c r="J26" s="56">
        <f t="shared" si="4"/>
        <v>0</v>
      </c>
      <c r="K26" s="73">
        <f>SUM(C26:J26)</f>
        <v>3901</v>
      </c>
    </row>
    <row r="27" spans="1:13" ht="19.5" thickBot="1" x14ac:dyDescent="0.3">
      <c r="A27" s="33" t="s">
        <v>29</v>
      </c>
      <c r="B27" s="34" t="s">
        <v>30</v>
      </c>
      <c r="C27" s="102">
        <v>0</v>
      </c>
      <c r="D27" s="87">
        <v>12</v>
      </c>
      <c r="E27" s="35">
        <v>0</v>
      </c>
      <c r="F27" s="35">
        <v>0</v>
      </c>
      <c r="G27" s="64">
        <v>24</v>
      </c>
      <c r="H27" s="87">
        <v>23</v>
      </c>
      <c r="I27" s="93">
        <v>27</v>
      </c>
      <c r="J27" s="36">
        <v>1</v>
      </c>
      <c r="K27" s="80">
        <f>SUM(D27:J27)</f>
        <v>87</v>
      </c>
      <c r="M27" s="112"/>
    </row>
    <row r="28" spans="1:13" ht="19.5" thickBot="1" x14ac:dyDescent="0.3">
      <c r="A28" s="37" t="s">
        <v>29</v>
      </c>
      <c r="B28" s="38" t="s">
        <v>31</v>
      </c>
      <c r="C28" s="103">
        <v>0</v>
      </c>
      <c r="D28" s="88">
        <v>50</v>
      </c>
      <c r="E28" s="39">
        <v>0</v>
      </c>
      <c r="F28" s="39">
        <v>0</v>
      </c>
      <c r="G28" s="65">
        <v>156</v>
      </c>
      <c r="H28" s="88">
        <v>118</v>
      </c>
      <c r="I28" s="94">
        <v>27</v>
      </c>
      <c r="J28" s="40">
        <v>5</v>
      </c>
      <c r="K28" s="80">
        <f>SUM(D28:J28)</f>
        <v>356</v>
      </c>
      <c r="M28" s="112"/>
    </row>
    <row r="29" spans="1:13" ht="19.5" thickBot="1" x14ac:dyDescent="0.3">
      <c r="A29" s="37" t="s">
        <v>29</v>
      </c>
      <c r="B29" s="38" t="s">
        <v>32</v>
      </c>
      <c r="C29" s="103">
        <v>1</v>
      </c>
      <c r="D29" s="88">
        <v>97</v>
      </c>
      <c r="E29" s="39">
        <v>0</v>
      </c>
      <c r="F29" s="39">
        <v>0</v>
      </c>
      <c r="G29" s="65">
        <v>187</v>
      </c>
      <c r="H29" s="88">
        <v>459</v>
      </c>
      <c r="I29" s="94">
        <v>116</v>
      </c>
      <c r="J29" s="40">
        <v>20</v>
      </c>
      <c r="K29" s="80">
        <f>SUM(D29:J29)</f>
        <v>879</v>
      </c>
      <c r="M29" s="112"/>
    </row>
    <row r="30" spans="1:13" ht="19.5" thickBot="1" x14ac:dyDescent="0.3">
      <c r="A30" s="41" t="s">
        <v>29</v>
      </c>
      <c r="B30" s="42" t="s">
        <v>33</v>
      </c>
      <c r="C30" s="104">
        <v>1</v>
      </c>
      <c r="D30" s="89">
        <v>154</v>
      </c>
      <c r="E30" s="43">
        <v>0</v>
      </c>
      <c r="F30" s="43">
        <v>0</v>
      </c>
      <c r="G30" s="66">
        <v>203</v>
      </c>
      <c r="H30" s="89">
        <v>611</v>
      </c>
      <c r="I30" s="95">
        <v>14</v>
      </c>
      <c r="J30" s="44">
        <v>19</v>
      </c>
      <c r="K30" s="80">
        <f>SUM(D30:J30)</f>
        <v>1001</v>
      </c>
      <c r="M30" s="112"/>
    </row>
    <row r="31" spans="1:13" ht="24.75" thickBot="1" x14ac:dyDescent="0.3">
      <c r="A31" s="16"/>
      <c r="B31" s="1" t="s">
        <v>34</v>
      </c>
      <c r="C31" s="45">
        <f t="shared" ref="C31:J31" si="5">SUM(C27:C30)</f>
        <v>2</v>
      </c>
      <c r="D31" s="45">
        <f t="shared" si="5"/>
        <v>313</v>
      </c>
      <c r="E31" s="45">
        <f t="shared" si="5"/>
        <v>0</v>
      </c>
      <c r="F31" s="45">
        <f t="shared" si="5"/>
        <v>0</v>
      </c>
      <c r="G31" s="46">
        <f t="shared" si="5"/>
        <v>570</v>
      </c>
      <c r="H31" s="57">
        <f>SUM(H27:H30)</f>
        <v>1211</v>
      </c>
      <c r="I31" s="57">
        <f t="shared" si="5"/>
        <v>184</v>
      </c>
      <c r="J31" s="57">
        <f t="shared" si="5"/>
        <v>45</v>
      </c>
      <c r="K31" s="74">
        <f>SUM(C31:J31)</f>
        <v>2325</v>
      </c>
    </row>
    <row r="32" spans="1:13" ht="19.5" thickBot="1" x14ac:dyDescent="0.3">
      <c r="A32" s="47" t="s">
        <v>35</v>
      </c>
      <c r="B32" s="5" t="s">
        <v>36</v>
      </c>
      <c r="C32" s="105">
        <v>0</v>
      </c>
      <c r="D32" s="87">
        <v>25</v>
      </c>
      <c r="E32" s="35">
        <v>0</v>
      </c>
      <c r="F32" s="35">
        <v>0</v>
      </c>
      <c r="G32" s="64">
        <v>57</v>
      </c>
      <c r="H32" s="87">
        <v>71</v>
      </c>
      <c r="I32" s="93">
        <v>78</v>
      </c>
      <c r="J32" s="36">
        <v>0</v>
      </c>
      <c r="K32" s="80">
        <f>SUM(D32:J32)</f>
        <v>231</v>
      </c>
      <c r="M32" s="112"/>
    </row>
    <row r="33" spans="1:13" ht="19.5" thickBot="1" x14ac:dyDescent="0.3">
      <c r="A33" s="48" t="s">
        <v>35</v>
      </c>
      <c r="B33" s="10" t="s">
        <v>37</v>
      </c>
      <c r="C33" s="106">
        <v>0</v>
      </c>
      <c r="D33" s="88">
        <v>37</v>
      </c>
      <c r="E33" s="39">
        <v>0</v>
      </c>
      <c r="F33" s="39">
        <v>0</v>
      </c>
      <c r="G33" s="65">
        <v>655</v>
      </c>
      <c r="H33" s="88">
        <v>95</v>
      </c>
      <c r="I33" s="94">
        <v>168</v>
      </c>
      <c r="J33" s="40">
        <v>0</v>
      </c>
      <c r="K33" s="80">
        <f>SUM(D33:J33)</f>
        <v>955</v>
      </c>
      <c r="M33" s="112"/>
    </row>
    <row r="34" spans="1:13" ht="19.5" thickBot="1" x14ac:dyDescent="0.3">
      <c r="A34" s="49" t="s">
        <v>35</v>
      </c>
      <c r="B34" s="13" t="s">
        <v>38</v>
      </c>
      <c r="C34" s="107">
        <v>0</v>
      </c>
      <c r="D34" s="89">
        <v>34</v>
      </c>
      <c r="E34" s="43">
        <v>0</v>
      </c>
      <c r="F34" s="43">
        <v>0</v>
      </c>
      <c r="G34" s="66">
        <v>46</v>
      </c>
      <c r="H34" s="89">
        <v>58</v>
      </c>
      <c r="I34" s="95">
        <v>47</v>
      </c>
      <c r="J34" s="44">
        <v>0</v>
      </c>
      <c r="K34" s="80">
        <f>SUM(D34:J34)</f>
        <v>185</v>
      </c>
      <c r="M34" s="112"/>
    </row>
    <row r="35" spans="1:13" ht="24.75" thickBot="1" x14ac:dyDescent="0.3">
      <c r="A35" s="16"/>
      <c r="B35" s="1" t="s">
        <v>39</v>
      </c>
      <c r="C35" s="50">
        <f t="shared" ref="C35:I35" si="6">SUM(C32:C34)</f>
        <v>0</v>
      </c>
      <c r="D35" s="50">
        <f t="shared" si="6"/>
        <v>96</v>
      </c>
      <c r="E35" s="50">
        <f t="shared" si="6"/>
        <v>0</v>
      </c>
      <c r="F35" s="50">
        <f t="shared" si="6"/>
        <v>0</v>
      </c>
      <c r="G35" s="51">
        <f t="shared" si="6"/>
        <v>758</v>
      </c>
      <c r="H35" s="58">
        <f t="shared" si="6"/>
        <v>224</v>
      </c>
      <c r="I35" s="58">
        <f t="shared" si="6"/>
        <v>293</v>
      </c>
      <c r="J35" s="58">
        <v>0</v>
      </c>
      <c r="K35" s="75">
        <f>SUM(C35:J35)</f>
        <v>1371</v>
      </c>
    </row>
    <row r="36" spans="1:13" ht="19.5" thickBot="1" x14ac:dyDescent="0.35">
      <c r="A36" s="68" t="s">
        <v>40</v>
      </c>
      <c r="B36" s="68" t="s">
        <v>40</v>
      </c>
      <c r="C36" s="69">
        <v>0</v>
      </c>
      <c r="D36" s="69">
        <v>10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70">
        <f>SUM(C36:J36)</f>
        <v>10</v>
      </c>
    </row>
    <row r="37" spans="1:13" ht="19.5" thickBot="1" x14ac:dyDescent="0.35">
      <c r="A37" s="52"/>
      <c r="B37" s="1" t="s">
        <v>41</v>
      </c>
      <c r="C37" s="81">
        <f t="shared" ref="C37:J37" si="7">SUM(C8,C18,C26,C31,C35,C36)</f>
        <v>8</v>
      </c>
      <c r="D37" s="81">
        <f>SUM(D8,D18,D26,D31,D35,D36)</f>
        <v>656</v>
      </c>
      <c r="E37" s="81">
        <f t="shared" si="7"/>
        <v>3109</v>
      </c>
      <c r="F37" s="81">
        <f t="shared" si="7"/>
        <v>69</v>
      </c>
      <c r="G37" s="81">
        <f t="shared" si="7"/>
        <v>2104</v>
      </c>
      <c r="H37" s="81">
        <f t="shared" si="7"/>
        <v>2184</v>
      </c>
      <c r="I37" s="81">
        <f t="shared" si="7"/>
        <v>1122</v>
      </c>
      <c r="J37" s="81">
        <f t="shared" si="7"/>
        <v>45</v>
      </c>
      <c r="K37" s="76">
        <f>SUM(K8,K18,K26,K31,K35,K36)</f>
        <v>9297</v>
      </c>
    </row>
    <row r="39" spans="1:13" x14ac:dyDescent="0.25">
      <c r="J39" s="67"/>
    </row>
  </sheetData>
  <mergeCells count="2">
    <mergeCell ref="A1:K1"/>
    <mergeCell ref="A2:K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BD18-B248-4F35-A051-3B0E38BFAECB}">
  <sheetPr codeName="Planilha6"/>
  <dimension ref="A1:T36"/>
  <sheetViews>
    <sheetView zoomScale="55" zoomScaleNormal="55" workbookViewId="0">
      <selection activeCell="K3" sqref="K3:K6"/>
    </sheetView>
  </sheetViews>
  <sheetFormatPr defaultRowHeight="15" x14ac:dyDescent="0.25"/>
  <cols>
    <col min="1" max="1" width="19.28515625" bestFit="1" customWidth="1"/>
    <col min="2" max="2" width="33.5703125" customWidth="1"/>
    <col min="3" max="3" width="26.5703125" customWidth="1"/>
    <col min="4" max="4" width="25.140625" customWidth="1"/>
    <col min="5" max="5" width="30.7109375" customWidth="1"/>
    <col min="6" max="6" width="27" customWidth="1"/>
    <col min="7" max="7" width="23" customWidth="1"/>
    <col min="8" max="8" width="26.140625" customWidth="1"/>
    <col min="9" max="9" width="24.140625" customWidth="1"/>
    <col min="10" max="10" width="22.5703125" customWidth="1"/>
    <col min="11" max="11" width="18.7109375" customWidth="1"/>
    <col min="12" max="12" width="14.28515625" customWidth="1"/>
    <col min="13" max="13" width="16.85546875" customWidth="1"/>
    <col min="14" max="14" width="17.7109375" customWidth="1"/>
    <col min="16" max="16" width="31.85546875" bestFit="1" customWidth="1"/>
    <col min="19" max="20" width="13.42578125" bestFit="1" customWidth="1"/>
  </cols>
  <sheetData>
    <row r="1" spans="1:20" ht="21.75" thickBot="1" x14ac:dyDescent="0.3">
      <c r="A1" s="341" t="s">
        <v>64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3"/>
    </row>
    <row r="2" spans="1:20" ht="151.5" customHeight="1" thickBot="1" x14ac:dyDescent="0.3">
      <c r="A2" s="2" t="s">
        <v>0</v>
      </c>
      <c r="B2" s="2" t="s">
        <v>1</v>
      </c>
      <c r="C2" s="2" t="s">
        <v>65</v>
      </c>
      <c r="D2" s="2" t="s">
        <v>66</v>
      </c>
      <c r="E2" s="2" t="s">
        <v>72</v>
      </c>
      <c r="F2" s="2" t="s">
        <v>71</v>
      </c>
      <c r="G2" s="2" t="s">
        <v>70</v>
      </c>
      <c r="H2" s="2" t="s">
        <v>62</v>
      </c>
      <c r="I2" s="2" t="s">
        <v>67</v>
      </c>
      <c r="J2" s="2" t="s">
        <v>73</v>
      </c>
      <c r="K2" s="3" t="s">
        <v>47</v>
      </c>
      <c r="L2" s="3" t="s">
        <v>68</v>
      </c>
      <c r="M2" s="3" t="s">
        <v>69</v>
      </c>
      <c r="N2" s="3" t="s">
        <v>2</v>
      </c>
      <c r="P2" s="1" t="s">
        <v>91</v>
      </c>
    </row>
    <row r="3" spans="1:20" ht="24.75" thickBot="1" x14ac:dyDescent="0.45">
      <c r="A3" s="4" t="s">
        <v>3</v>
      </c>
      <c r="B3" s="5" t="s">
        <v>4</v>
      </c>
      <c r="C3" s="129">
        <v>0</v>
      </c>
      <c r="D3" s="129">
        <v>0</v>
      </c>
      <c r="E3" s="129">
        <v>20</v>
      </c>
      <c r="F3" s="129">
        <v>0</v>
      </c>
      <c r="G3" s="129">
        <v>0</v>
      </c>
      <c r="H3" s="129">
        <v>37</v>
      </c>
      <c r="I3" s="129">
        <v>10</v>
      </c>
      <c r="J3" s="130">
        <v>0</v>
      </c>
      <c r="K3" s="131">
        <v>49</v>
      </c>
      <c r="L3" s="131">
        <v>0</v>
      </c>
      <c r="M3" s="131">
        <v>0</v>
      </c>
      <c r="N3" s="113">
        <f>SUM(C3:M3)</f>
        <v>116</v>
      </c>
      <c r="P3" s="219">
        <v>116</v>
      </c>
      <c r="S3" s="300"/>
      <c r="T3" s="300"/>
    </row>
    <row r="4" spans="1:20" ht="24.75" thickBot="1" x14ac:dyDescent="0.45">
      <c r="A4" s="9" t="s">
        <v>3</v>
      </c>
      <c r="B4" s="10" t="s">
        <v>5</v>
      </c>
      <c r="C4" s="130">
        <v>0</v>
      </c>
      <c r="D4" s="130">
        <v>1</v>
      </c>
      <c r="E4" s="130">
        <v>12</v>
      </c>
      <c r="F4" s="130">
        <v>0</v>
      </c>
      <c r="G4" s="130">
        <v>0</v>
      </c>
      <c r="H4" s="130">
        <v>16</v>
      </c>
      <c r="I4" s="130">
        <v>9</v>
      </c>
      <c r="J4" s="132">
        <v>15</v>
      </c>
      <c r="K4" s="133">
        <v>30</v>
      </c>
      <c r="L4" s="133">
        <v>0</v>
      </c>
      <c r="M4" s="133">
        <v>0</v>
      </c>
      <c r="N4" s="113">
        <f>SUM(C4:M4)</f>
        <v>83</v>
      </c>
      <c r="P4" s="208">
        <v>83</v>
      </c>
      <c r="R4" s="231"/>
      <c r="S4" s="300"/>
      <c r="T4" s="300"/>
    </row>
    <row r="5" spans="1:20" ht="24.75" thickBot="1" x14ac:dyDescent="0.45">
      <c r="A5" s="9" t="s">
        <v>3</v>
      </c>
      <c r="B5" s="10" t="s">
        <v>6</v>
      </c>
      <c r="C5" s="130">
        <v>0</v>
      </c>
      <c r="D5" s="130">
        <v>1</v>
      </c>
      <c r="E5" s="130">
        <v>6</v>
      </c>
      <c r="F5" s="130">
        <v>0</v>
      </c>
      <c r="G5" s="130">
        <v>0</v>
      </c>
      <c r="H5" s="130">
        <v>9</v>
      </c>
      <c r="I5" s="130">
        <v>3</v>
      </c>
      <c r="J5" s="130">
        <v>0</v>
      </c>
      <c r="K5" s="133">
        <v>22</v>
      </c>
      <c r="L5" s="133">
        <v>0</v>
      </c>
      <c r="M5" s="133">
        <v>0</v>
      </c>
      <c r="N5" s="113">
        <f>SUM(C5:M5)</f>
        <v>41</v>
      </c>
      <c r="P5" s="208">
        <v>41</v>
      </c>
      <c r="S5" s="300"/>
      <c r="T5" s="300"/>
    </row>
    <row r="6" spans="1:20" ht="24.75" thickBot="1" x14ac:dyDescent="0.45">
      <c r="A6" s="12" t="s">
        <v>3</v>
      </c>
      <c r="B6" s="13" t="s">
        <v>7</v>
      </c>
      <c r="C6" s="134">
        <v>0</v>
      </c>
      <c r="D6" s="134">
        <v>0</v>
      </c>
      <c r="E6" s="134">
        <v>10</v>
      </c>
      <c r="F6" s="134">
        <v>0</v>
      </c>
      <c r="G6" s="134">
        <v>0</v>
      </c>
      <c r="H6" s="134">
        <v>8</v>
      </c>
      <c r="I6" s="134">
        <v>5</v>
      </c>
      <c r="J6" s="134">
        <v>0</v>
      </c>
      <c r="K6" s="135">
        <v>41</v>
      </c>
      <c r="L6" s="135">
        <v>0</v>
      </c>
      <c r="M6" s="135">
        <v>22</v>
      </c>
      <c r="N6" s="113">
        <f>SUM(C6:M6)</f>
        <v>86</v>
      </c>
      <c r="P6" s="208">
        <v>86</v>
      </c>
      <c r="S6" s="301"/>
      <c r="T6" s="301"/>
    </row>
    <row r="7" spans="1:20" ht="29.25" thickBot="1" x14ac:dyDescent="0.3">
      <c r="A7" s="16"/>
      <c r="B7" s="16" t="s">
        <v>8</v>
      </c>
      <c r="C7" s="136">
        <f>SUM(C3:C6)</f>
        <v>0</v>
      </c>
      <c r="D7" s="136">
        <f>SUM(D3:D6)</f>
        <v>2</v>
      </c>
      <c r="E7" s="136">
        <f>SUM(E3:E6)</f>
        <v>48</v>
      </c>
      <c r="F7" s="136">
        <f>SUM(F3:F6)</f>
        <v>0</v>
      </c>
      <c r="G7" s="136">
        <v>0</v>
      </c>
      <c r="H7" s="136">
        <f>SUM(H3:H6)</f>
        <v>70</v>
      </c>
      <c r="I7" s="136">
        <f>SUM(I3:I6)</f>
        <v>27</v>
      </c>
      <c r="J7" s="136">
        <f>SUM(J3:J6)</f>
        <v>15</v>
      </c>
      <c r="K7" s="137">
        <f>SUM(K3:K6)</f>
        <v>142</v>
      </c>
      <c r="L7" s="137">
        <v>0</v>
      </c>
      <c r="M7" s="137">
        <f>SUM(M3:M6)</f>
        <v>22</v>
      </c>
      <c r="N7" s="115">
        <f>SUM(C7:M7)</f>
        <v>326</v>
      </c>
      <c r="P7" s="220">
        <f>SUM(P3:P6)</f>
        <v>326</v>
      </c>
    </row>
    <row r="8" spans="1:20" ht="21.75" thickBot="1" x14ac:dyDescent="0.3">
      <c r="A8" s="19" t="s">
        <v>9</v>
      </c>
      <c r="B8" s="5" t="s">
        <v>10</v>
      </c>
      <c r="C8" s="129">
        <v>1</v>
      </c>
      <c r="D8" s="129">
        <v>2</v>
      </c>
      <c r="E8" s="129">
        <v>0</v>
      </c>
      <c r="F8" s="129">
        <v>19</v>
      </c>
      <c r="G8" s="129">
        <v>0</v>
      </c>
      <c r="H8" s="129">
        <v>29</v>
      </c>
      <c r="I8" s="129">
        <v>7</v>
      </c>
      <c r="J8" s="129">
        <v>0</v>
      </c>
      <c r="K8" s="131">
        <v>59</v>
      </c>
      <c r="L8" s="131">
        <v>0</v>
      </c>
      <c r="M8" s="131">
        <v>0</v>
      </c>
      <c r="N8" s="113">
        <f t="shared" ref="N8:N33" si="0">SUM(C8:M8)</f>
        <v>117</v>
      </c>
      <c r="P8" s="208">
        <v>117</v>
      </c>
    </row>
    <row r="9" spans="1:20" ht="21.75" thickBot="1" x14ac:dyDescent="0.3">
      <c r="A9" s="20" t="s">
        <v>9</v>
      </c>
      <c r="B9" s="10" t="s">
        <v>11</v>
      </c>
      <c r="C9" s="130">
        <v>0</v>
      </c>
      <c r="D9" s="130">
        <v>3</v>
      </c>
      <c r="E9" s="130">
        <v>0</v>
      </c>
      <c r="F9" s="130">
        <v>7</v>
      </c>
      <c r="G9" s="130">
        <v>0</v>
      </c>
      <c r="H9" s="130">
        <v>59</v>
      </c>
      <c r="I9" s="130">
        <v>10</v>
      </c>
      <c r="J9" s="130">
        <v>0</v>
      </c>
      <c r="K9" s="133">
        <v>173</v>
      </c>
      <c r="L9" s="133">
        <v>0</v>
      </c>
      <c r="M9" s="133">
        <v>0</v>
      </c>
      <c r="N9" s="113">
        <f t="shared" si="0"/>
        <v>252</v>
      </c>
      <c r="P9" s="208">
        <v>252</v>
      </c>
    </row>
    <row r="10" spans="1:20" ht="21.75" thickBot="1" x14ac:dyDescent="0.3">
      <c r="A10" s="20" t="s">
        <v>9</v>
      </c>
      <c r="B10" s="10" t="s">
        <v>12</v>
      </c>
      <c r="C10" s="130">
        <v>1</v>
      </c>
      <c r="D10" s="130">
        <v>0</v>
      </c>
      <c r="E10" s="130">
        <v>0</v>
      </c>
      <c r="F10" s="130">
        <v>33</v>
      </c>
      <c r="G10" s="130">
        <v>0</v>
      </c>
      <c r="H10" s="130">
        <v>46</v>
      </c>
      <c r="I10" s="130">
        <v>5</v>
      </c>
      <c r="J10" s="130">
        <v>0</v>
      </c>
      <c r="K10" s="133">
        <v>58</v>
      </c>
      <c r="L10" s="133">
        <v>0</v>
      </c>
      <c r="M10" s="133">
        <v>5</v>
      </c>
      <c r="N10" s="113">
        <f t="shared" si="0"/>
        <v>148</v>
      </c>
      <c r="P10" s="208">
        <v>148</v>
      </c>
    </row>
    <row r="11" spans="1:20" ht="21.75" thickBot="1" x14ac:dyDescent="0.3">
      <c r="A11" s="20" t="s">
        <v>9</v>
      </c>
      <c r="B11" s="10" t="s">
        <v>13</v>
      </c>
      <c r="C11" s="130">
        <v>0</v>
      </c>
      <c r="D11" s="130">
        <v>0</v>
      </c>
      <c r="E11" s="130">
        <v>0</v>
      </c>
      <c r="F11" s="130">
        <v>5</v>
      </c>
      <c r="G11" s="130">
        <v>0</v>
      </c>
      <c r="H11" s="130">
        <v>43</v>
      </c>
      <c r="I11" s="130">
        <v>7</v>
      </c>
      <c r="J11" s="130">
        <v>0</v>
      </c>
      <c r="K11" s="133">
        <v>74</v>
      </c>
      <c r="L11" s="133">
        <v>0</v>
      </c>
      <c r="M11" s="133">
        <v>36</v>
      </c>
      <c r="N11" s="113">
        <f t="shared" si="0"/>
        <v>165</v>
      </c>
      <c r="P11" s="208">
        <v>165</v>
      </c>
    </row>
    <row r="12" spans="1:20" ht="21.75" thickBot="1" x14ac:dyDescent="0.3">
      <c r="A12" s="20" t="s">
        <v>9</v>
      </c>
      <c r="B12" s="10" t="s">
        <v>14</v>
      </c>
      <c r="C12" s="130">
        <v>0</v>
      </c>
      <c r="D12" s="130">
        <v>2</v>
      </c>
      <c r="E12" s="130">
        <v>0</v>
      </c>
      <c r="F12" s="130">
        <v>46</v>
      </c>
      <c r="G12" s="130">
        <v>0</v>
      </c>
      <c r="H12" s="130">
        <v>32</v>
      </c>
      <c r="I12" s="130">
        <v>7</v>
      </c>
      <c r="J12" s="130">
        <v>0</v>
      </c>
      <c r="K12" s="133">
        <v>24</v>
      </c>
      <c r="L12" s="133">
        <v>0</v>
      </c>
      <c r="M12" s="133">
        <v>0</v>
      </c>
      <c r="N12" s="113">
        <f t="shared" si="0"/>
        <v>111</v>
      </c>
      <c r="P12" s="208">
        <v>111</v>
      </c>
    </row>
    <row r="13" spans="1:20" ht="21.75" thickBot="1" x14ac:dyDescent="0.3">
      <c r="A13" s="20" t="s">
        <v>9</v>
      </c>
      <c r="B13" s="10" t="s">
        <v>15</v>
      </c>
      <c r="C13" s="130">
        <v>0</v>
      </c>
      <c r="D13" s="130">
        <v>3</v>
      </c>
      <c r="E13" s="130">
        <v>0</v>
      </c>
      <c r="F13" s="130">
        <v>15</v>
      </c>
      <c r="G13" s="130">
        <v>0</v>
      </c>
      <c r="H13" s="130">
        <v>48</v>
      </c>
      <c r="I13" s="130">
        <v>18</v>
      </c>
      <c r="J13" s="130">
        <v>0</v>
      </c>
      <c r="K13" s="133">
        <v>119</v>
      </c>
      <c r="L13" s="133">
        <v>0</v>
      </c>
      <c r="M13" s="133">
        <v>0</v>
      </c>
      <c r="N13" s="113">
        <f t="shared" si="0"/>
        <v>203</v>
      </c>
      <c r="P13" s="208">
        <v>203</v>
      </c>
    </row>
    <row r="14" spans="1:20" ht="21.75" thickBot="1" x14ac:dyDescent="0.3">
      <c r="A14" s="20" t="s">
        <v>9</v>
      </c>
      <c r="B14" s="10" t="s">
        <v>16</v>
      </c>
      <c r="C14" s="130">
        <v>0</v>
      </c>
      <c r="D14" s="130">
        <v>1</v>
      </c>
      <c r="E14" s="130">
        <v>0</v>
      </c>
      <c r="F14" s="130">
        <v>3</v>
      </c>
      <c r="G14" s="130">
        <v>0</v>
      </c>
      <c r="H14" s="130">
        <v>26</v>
      </c>
      <c r="I14" s="130">
        <v>4</v>
      </c>
      <c r="J14" s="130">
        <v>8</v>
      </c>
      <c r="K14" s="133">
        <v>55</v>
      </c>
      <c r="L14" s="133">
        <v>0</v>
      </c>
      <c r="M14" s="133">
        <v>0</v>
      </c>
      <c r="N14" s="113">
        <f t="shared" si="0"/>
        <v>97</v>
      </c>
      <c r="P14" s="208">
        <v>97</v>
      </c>
    </row>
    <row r="15" spans="1:20" ht="21.75" thickBot="1" x14ac:dyDescent="0.3">
      <c r="A15" s="20" t="s">
        <v>9</v>
      </c>
      <c r="B15" s="10" t="s">
        <v>17</v>
      </c>
      <c r="C15" s="130">
        <v>0</v>
      </c>
      <c r="D15" s="130">
        <v>1</v>
      </c>
      <c r="E15" s="130">
        <v>0</v>
      </c>
      <c r="F15" s="130">
        <v>17</v>
      </c>
      <c r="G15" s="130">
        <v>0</v>
      </c>
      <c r="H15" s="130">
        <v>33</v>
      </c>
      <c r="I15" s="130">
        <v>11</v>
      </c>
      <c r="J15" s="130">
        <v>0</v>
      </c>
      <c r="K15" s="133">
        <v>30</v>
      </c>
      <c r="L15" s="133">
        <v>0</v>
      </c>
      <c r="M15" s="133">
        <v>33</v>
      </c>
      <c r="N15" s="113">
        <f t="shared" si="0"/>
        <v>125</v>
      </c>
      <c r="P15" s="208">
        <v>125</v>
      </c>
    </row>
    <row r="16" spans="1:20" ht="21.75" thickBot="1" x14ac:dyDescent="0.3">
      <c r="A16" s="21" t="s">
        <v>9</v>
      </c>
      <c r="B16" s="13" t="s">
        <v>18</v>
      </c>
      <c r="C16" s="134">
        <v>1</v>
      </c>
      <c r="D16" s="134">
        <v>1</v>
      </c>
      <c r="E16" s="134">
        <v>0</v>
      </c>
      <c r="F16" s="134">
        <v>15</v>
      </c>
      <c r="G16" s="134">
        <v>0</v>
      </c>
      <c r="H16" s="134">
        <v>10</v>
      </c>
      <c r="I16" s="134">
        <v>8</v>
      </c>
      <c r="J16" s="134">
        <v>0</v>
      </c>
      <c r="K16" s="135">
        <v>33</v>
      </c>
      <c r="L16" s="135">
        <v>0</v>
      </c>
      <c r="M16" s="135">
        <v>0</v>
      </c>
      <c r="N16" s="113">
        <f t="shared" si="0"/>
        <v>68</v>
      </c>
      <c r="P16" s="208">
        <v>68</v>
      </c>
    </row>
    <row r="17" spans="1:16" ht="29.25" thickBot="1" x14ac:dyDescent="0.3">
      <c r="A17" s="16"/>
      <c r="B17" s="16" t="s">
        <v>19</v>
      </c>
      <c r="C17" s="138">
        <f t="shared" ref="C17:J17" si="1">SUM(C8:C16)</f>
        <v>3</v>
      </c>
      <c r="D17" s="138">
        <f t="shared" si="1"/>
        <v>13</v>
      </c>
      <c r="E17" s="138">
        <f>SUM(E8:E16)</f>
        <v>0</v>
      </c>
      <c r="F17" s="138">
        <f>SUM(F8:F16)</f>
        <v>160</v>
      </c>
      <c r="G17" s="138">
        <v>0</v>
      </c>
      <c r="H17" s="138">
        <f>SUM(H8:H16)</f>
        <v>326</v>
      </c>
      <c r="I17" s="138">
        <f t="shared" si="1"/>
        <v>77</v>
      </c>
      <c r="J17" s="138">
        <f t="shared" si="1"/>
        <v>8</v>
      </c>
      <c r="K17" s="139">
        <f>SUM(K8:K16)</f>
        <v>625</v>
      </c>
      <c r="L17" s="139">
        <v>0</v>
      </c>
      <c r="M17" s="139">
        <f>SUM(M8:M16)</f>
        <v>74</v>
      </c>
      <c r="N17" s="116">
        <f>SUM(C17:M17)</f>
        <v>1286</v>
      </c>
      <c r="P17" s="220">
        <f>SUM(P8:P16)</f>
        <v>1286</v>
      </c>
    </row>
    <row r="18" spans="1:16" ht="21.75" thickBot="1" x14ac:dyDescent="0.3">
      <c r="A18" s="23" t="s">
        <v>20</v>
      </c>
      <c r="B18" s="5" t="s">
        <v>21</v>
      </c>
      <c r="C18" s="129">
        <v>0</v>
      </c>
      <c r="D18" s="129">
        <v>0</v>
      </c>
      <c r="E18" s="129">
        <v>2</v>
      </c>
      <c r="F18" s="129">
        <v>0</v>
      </c>
      <c r="G18" s="129">
        <v>0</v>
      </c>
      <c r="H18" s="129">
        <v>3</v>
      </c>
      <c r="I18" s="129">
        <v>1</v>
      </c>
      <c r="J18" s="140">
        <v>0</v>
      </c>
      <c r="K18" s="141">
        <v>1</v>
      </c>
      <c r="L18" s="141">
        <v>0</v>
      </c>
      <c r="M18" s="141">
        <v>0</v>
      </c>
      <c r="N18" s="113">
        <f t="shared" si="0"/>
        <v>7</v>
      </c>
      <c r="P18" s="208">
        <v>7</v>
      </c>
    </row>
    <row r="19" spans="1:16" ht="21.75" thickBot="1" x14ac:dyDescent="0.3">
      <c r="A19" s="24" t="s">
        <v>20</v>
      </c>
      <c r="B19" s="25" t="s">
        <v>22</v>
      </c>
      <c r="C19" s="142">
        <v>0</v>
      </c>
      <c r="D19" s="142">
        <v>0</v>
      </c>
      <c r="E19" s="142">
        <v>2</v>
      </c>
      <c r="F19" s="142">
        <v>0</v>
      </c>
      <c r="G19" s="142">
        <v>0</v>
      </c>
      <c r="H19" s="142">
        <v>10</v>
      </c>
      <c r="I19" s="142">
        <v>2</v>
      </c>
      <c r="J19" s="143">
        <v>0</v>
      </c>
      <c r="K19" s="144">
        <v>9</v>
      </c>
      <c r="L19" s="144">
        <v>0</v>
      </c>
      <c r="M19" s="144">
        <v>13</v>
      </c>
      <c r="N19" s="113">
        <f t="shared" si="0"/>
        <v>36</v>
      </c>
      <c r="P19" s="208">
        <v>36</v>
      </c>
    </row>
    <row r="20" spans="1:16" ht="21.75" thickBot="1" x14ac:dyDescent="0.3">
      <c r="A20" s="27" t="s">
        <v>20</v>
      </c>
      <c r="B20" s="10" t="s">
        <v>23</v>
      </c>
      <c r="C20" s="130">
        <v>0</v>
      </c>
      <c r="D20" s="130">
        <v>1</v>
      </c>
      <c r="E20" s="130">
        <v>42</v>
      </c>
      <c r="F20" s="130">
        <v>0</v>
      </c>
      <c r="G20" s="130">
        <v>0</v>
      </c>
      <c r="H20" s="130">
        <v>37</v>
      </c>
      <c r="I20" s="130">
        <v>6</v>
      </c>
      <c r="J20" s="145">
        <v>0</v>
      </c>
      <c r="K20" s="144">
        <v>41</v>
      </c>
      <c r="L20" s="144">
        <v>0</v>
      </c>
      <c r="M20" s="144">
        <v>0</v>
      </c>
      <c r="N20" s="113">
        <f t="shared" si="0"/>
        <v>127</v>
      </c>
      <c r="P20" s="208">
        <v>127</v>
      </c>
    </row>
    <row r="21" spans="1:16" ht="21.75" thickBot="1" x14ac:dyDescent="0.3">
      <c r="A21" s="27" t="s">
        <v>20</v>
      </c>
      <c r="B21" s="10" t="s">
        <v>24</v>
      </c>
      <c r="C21" s="130">
        <v>0</v>
      </c>
      <c r="D21" s="130">
        <v>2</v>
      </c>
      <c r="E21" s="130">
        <v>20</v>
      </c>
      <c r="F21" s="130">
        <v>0</v>
      </c>
      <c r="G21" s="130">
        <v>0</v>
      </c>
      <c r="H21" s="130">
        <v>91</v>
      </c>
      <c r="I21" s="130">
        <v>16</v>
      </c>
      <c r="J21" s="145">
        <v>0</v>
      </c>
      <c r="K21" s="144">
        <v>79</v>
      </c>
      <c r="L21" s="144">
        <v>450</v>
      </c>
      <c r="M21" s="144">
        <v>10</v>
      </c>
      <c r="N21" s="113">
        <f t="shared" si="0"/>
        <v>668</v>
      </c>
      <c r="P21" s="208">
        <v>668</v>
      </c>
    </row>
    <row r="22" spans="1:16" ht="21.75" thickBot="1" x14ac:dyDescent="0.3">
      <c r="A22" s="27" t="s">
        <v>20</v>
      </c>
      <c r="B22" s="10" t="s">
        <v>25</v>
      </c>
      <c r="C22" s="130">
        <v>0</v>
      </c>
      <c r="D22" s="130">
        <v>0</v>
      </c>
      <c r="E22" s="130">
        <v>6</v>
      </c>
      <c r="F22" s="130">
        <v>0</v>
      </c>
      <c r="G22" s="130">
        <v>0</v>
      </c>
      <c r="H22" s="130">
        <v>35</v>
      </c>
      <c r="I22" s="130">
        <v>0</v>
      </c>
      <c r="J22" s="145">
        <v>0</v>
      </c>
      <c r="K22" s="146">
        <v>15</v>
      </c>
      <c r="L22" s="146">
        <v>0</v>
      </c>
      <c r="M22" s="146">
        <v>0</v>
      </c>
      <c r="N22" s="113">
        <f t="shared" si="0"/>
        <v>56</v>
      </c>
      <c r="P22" s="208">
        <v>56</v>
      </c>
    </row>
    <row r="23" spans="1:16" ht="21.75" thickBot="1" x14ac:dyDescent="0.3">
      <c r="A23" s="27" t="s">
        <v>20</v>
      </c>
      <c r="B23" s="28" t="s">
        <v>26</v>
      </c>
      <c r="C23" s="147">
        <v>2</v>
      </c>
      <c r="D23" s="147">
        <v>0</v>
      </c>
      <c r="E23" s="147">
        <v>2</v>
      </c>
      <c r="F23" s="147">
        <v>0</v>
      </c>
      <c r="G23" s="147">
        <v>0</v>
      </c>
      <c r="H23" s="147">
        <v>18</v>
      </c>
      <c r="I23" s="147">
        <v>1</v>
      </c>
      <c r="J23" s="148">
        <v>0</v>
      </c>
      <c r="K23" s="149">
        <v>5</v>
      </c>
      <c r="L23" s="150">
        <v>0</v>
      </c>
      <c r="M23" s="150">
        <v>0</v>
      </c>
      <c r="N23" s="117">
        <f t="shared" si="0"/>
        <v>28</v>
      </c>
      <c r="P23" s="208">
        <v>28</v>
      </c>
    </row>
    <row r="24" spans="1:16" ht="21.75" thickBot="1" x14ac:dyDescent="0.3">
      <c r="A24" s="30" t="s">
        <v>20</v>
      </c>
      <c r="B24" s="13" t="s">
        <v>27</v>
      </c>
      <c r="C24" s="134">
        <v>0</v>
      </c>
      <c r="D24" s="134">
        <v>0</v>
      </c>
      <c r="E24" s="134">
        <v>24</v>
      </c>
      <c r="F24" s="134">
        <v>0</v>
      </c>
      <c r="G24" s="134">
        <v>0</v>
      </c>
      <c r="H24" s="134">
        <v>4</v>
      </c>
      <c r="I24" s="134">
        <v>7</v>
      </c>
      <c r="J24" s="151">
        <v>0</v>
      </c>
      <c r="K24" s="152">
        <v>12</v>
      </c>
      <c r="L24" s="135">
        <v>0</v>
      </c>
      <c r="M24" s="135">
        <v>23</v>
      </c>
      <c r="N24" s="119">
        <f t="shared" si="0"/>
        <v>70</v>
      </c>
      <c r="P24" s="208">
        <v>70</v>
      </c>
    </row>
    <row r="25" spans="1:16" ht="29.25" thickBot="1" x14ac:dyDescent="0.3">
      <c r="A25" s="16"/>
      <c r="B25" s="16" t="s">
        <v>28</v>
      </c>
      <c r="C25" s="153">
        <f>SUM(C18:C24)</f>
        <v>2</v>
      </c>
      <c r="D25" s="153">
        <f>SUM(D18:D24)</f>
        <v>3</v>
      </c>
      <c r="E25" s="153">
        <f>SUM(E18:E24)</f>
        <v>98</v>
      </c>
      <c r="F25" s="153">
        <f>SUM(F18:F24)</f>
        <v>0</v>
      </c>
      <c r="G25" s="153">
        <v>0</v>
      </c>
      <c r="H25" s="153">
        <f t="shared" ref="H25:M25" si="2">SUM(H18:H24)</f>
        <v>198</v>
      </c>
      <c r="I25" s="153">
        <f t="shared" si="2"/>
        <v>33</v>
      </c>
      <c r="J25" s="153">
        <f t="shared" si="2"/>
        <v>0</v>
      </c>
      <c r="K25" s="154">
        <f t="shared" si="2"/>
        <v>162</v>
      </c>
      <c r="L25" s="155">
        <f t="shared" si="2"/>
        <v>450</v>
      </c>
      <c r="M25" s="155">
        <f t="shared" si="2"/>
        <v>46</v>
      </c>
      <c r="N25" s="121">
        <f>SUM(C25:M25)</f>
        <v>992</v>
      </c>
      <c r="P25" s="220">
        <f>SUM(P18:P24)</f>
        <v>992</v>
      </c>
    </row>
    <row r="26" spans="1:16" ht="21.75" thickBot="1" x14ac:dyDescent="0.3">
      <c r="A26" s="33" t="s">
        <v>29</v>
      </c>
      <c r="B26" s="34" t="s">
        <v>30</v>
      </c>
      <c r="C26" s="156">
        <v>1</v>
      </c>
      <c r="D26" s="156">
        <v>0</v>
      </c>
      <c r="E26" s="156">
        <v>0</v>
      </c>
      <c r="F26" s="156">
        <v>0</v>
      </c>
      <c r="G26" s="156">
        <v>24</v>
      </c>
      <c r="H26" s="156">
        <v>35</v>
      </c>
      <c r="I26" s="156">
        <v>4</v>
      </c>
      <c r="J26" s="156">
        <v>0</v>
      </c>
      <c r="K26" s="157">
        <v>37</v>
      </c>
      <c r="L26" s="157">
        <v>0</v>
      </c>
      <c r="M26" s="157">
        <v>31</v>
      </c>
      <c r="N26" s="122">
        <f t="shared" si="0"/>
        <v>132</v>
      </c>
      <c r="P26" s="208">
        <v>132</v>
      </c>
    </row>
    <row r="27" spans="1:16" ht="21.75" thickBot="1" x14ac:dyDescent="0.3">
      <c r="A27" s="37" t="s">
        <v>29</v>
      </c>
      <c r="B27" s="38" t="s">
        <v>31</v>
      </c>
      <c r="C27" s="158">
        <v>2</v>
      </c>
      <c r="D27" s="158">
        <v>0</v>
      </c>
      <c r="E27" s="158">
        <v>0</v>
      </c>
      <c r="F27" s="158">
        <v>0</v>
      </c>
      <c r="G27" s="158">
        <v>21</v>
      </c>
      <c r="H27" s="158">
        <v>68</v>
      </c>
      <c r="I27" s="158">
        <v>20</v>
      </c>
      <c r="J27" s="158">
        <v>0</v>
      </c>
      <c r="K27" s="159">
        <v>81</v>
      </c>
      <c r="L27" s="159">
        <v>0</v>
      </c>
      <c r="M27" s="159">
        <v>0</v>
      </c>
      <c r="N27" s="122">
        <f t="shared" si="0"/>
        <v>192</v>
      </c>
      <c r="P27" s="208">
        <v>192</v>
      </c>
    </row>
    <row r="28" spans="1:16" ht="21.75" thickBot="1" x14ac:dyDescent="0.3">
      <c r="A28" s="37" t="s">
        <v>29</v>
      </c>
      <c r="B28" s="38" t="s">
        <v>32</v>
      </c>
      <c r="C28" s="158">
        <v>4</v>
      </c>
      <c r="D28" s="158">
        <v>10</v>
      </c>
      <c r="E28" s="158">
        <v>0</v>
      </c>
      <c r="F28" s="158">
        <v>0</v>
      </c>
      <c r="G28" s="158">
        <v>271</v>
      </c>
      <c r="H28" s="158">
        <v>136</v>
      </c>
      <c r="I28" s="158">
        <v>83</v>
      </c>
      <c r="J28" s="158">
        <v>0</v>
      </c>
      <c r="K28" s="159">
        <v>242</v>
      </c>
      <c r="L28" s="159">
        <v>0</v>
      </c>
      <c r="M28" s="159">
        <v>0</v>
      </c>
      <c r="N28" s="122">
        <f t="shared" si="0"/>
        <v>746</v>
      </c>
      <c r="P28" s="208">
        <v>746</v>
      </c>
    </row>
    <row r="29" spans="1:16" ht="21.75" thickBot="1" x14ac:dyDescent="0.3">
      <c r="A29" s="41" t="s">
        <v>29</v>
      </c>
      <c r="B29" s="42" t="s">
        <v>33</v>
      </c>
      <c r="C29" s="160">
        <v>7</v>
      </c>
      <c r="D29" s="160">
        <v>11</v>
      </c>
      <c r="E29" s="160">
        <v>0</v>
      </c>
      <c r="F29" s="160">
        <v>0</v>
      </c>
      <c r="G29" s="160">
        <v>256</v>
      </c>
      <c r="H29" s="160">
        <v>155</v>
      </c>
      <c r="I29" s="160">
        <v>137</v>
      </c>
      <c r="J29" s="160">
        <v>0</v>
      </c>
      <c r="K29" s="161">
        <v>334</v>
      </c>
      <c r="L29" s="161">
        <v>0</v>
      </c>
      <c r="M29" s="161">
        <v>6</v>
      </c>
      <c r="N29" s="122">
        <f t="shared" si="0"/>
        <v>906</v>
      </c>
      <c r="P29" s="208">
        <v>906</v>
      </c>
    </row>
    <row r="30" spans="1:16" ht="29.25" thickBot="1" x14ac:dyDescent="0.3">
      <c r="A30" s="16"/>
      <c r="B30" s="16" t="s">
        <v>34</v>
      </c>
      <c r="C30" s="162">
        <f>SUM(C26:C29)</f>
        <v>14</v>
      </c>
      <c r="D30" s="162">
        <f>SUM(D26:D29)</f>
        <v>21</v>
      </c>
      <c r="E30" s="162">
        <f>SUM(E26:E29)</f>
        <v>0</v>
      </c>
      <c r="F30" s="162">
        <v>0</v>
      </c>
      <c r="G30" s="162">
        <f>SUM(G26:G29)</f>
        <v>572</v>
      </c>
      <c r="H30" s="162">
        <f>SUM(H26:H29)</f>
        <v>394</v>
      </c>
      <c r="I30" s="162">
        <f>SUM(I26:I29)</f>
        <v>244</v>
      </c>
      <c r="J30" s="162">
        <f>SUM(J26:J29)</f>
        <v>0</v>
      </c>
      <c r="K30" s="163">
        <f>SUM(K26:K29)</f>
        <v>694</v>
      </c>
      <c r="L30" s="163"/>
      <c r="M30" s="163">
        <f>SUM(M26:M29)</f>
        <v>37</v>
      </c>
      <c r="N30" s="123">
        <f>SUM(C30:M30)</f>
        <v>1976</v>
      </c>
      <c r="P30" s="220">
        <f>SUM(P26:P29)</f>
        <v>1976</v>
      </c>
    </row>
    <row r="31" spans="1:16" ht="21.75" thickBot="1" x14ac:dyDescent="0.3">
      <c r="A31" s="47" t="s">
        <v>35</v>
      </c>
      <c r="B31" s="5" t="s">
        <v>36</v>
      </c>
      <c r="C31" s="156">
        <v>1</v>
      </c>
      <c r="D31" s="156">
        <v>2</v>
      </c>
      <c r="E31" s="156">
        <v>0</v>
      </c>
      <c r="F31" s="156">
        <v>0</v>
      </c>
      <c r="G31" s="156">
        <v>0</v>
      </c>
      <c r="H31" s="156">
        <v>33</v>
      </c>
      <c r="I31" s="156">
        <v>10</v>
      </c>
      <c r="J31" s="156">
        <v>368</v>
      </c>
      <c r="K31" s="157">
        <v>72</v>
      </c>
      <c r="L31" s="157">
        <v>2108</v>
      </c>
      <c r="M31" s="157">
        <v>0</v>
      </c>
      <c r="N31" s="122">
        <f>SUM(C31:M31)</f>
        <v>2594</v>
      </c>
      <c r="P31" s="208">
        <v>2308</v>
      </c>
    </row>
    <row r="32" spans="1:16" ht="21.75" thickBot="1" x14ac:dyDescent="0.3">
      <c r="A32" s="48" t="s">
        <v>35</v>
      </c>
      <c r="B32" s="10" t="s">
        <v>37</v>
      </c>
      <c r="C32" s="158">
        <v>2</v>
      </c>
      <c r="D32" s="158">
        <v>2</v>
      </c>
      <c r="E32" s="158">
        <v>0</v>
      </c>
      <c r="F32" s="158">
        <v>0</v>
      </c>
      <c r="G32" s="158">
        <v>0</v>
      </c>
      <c r="H32" s="158">
        <v>623</v>
      </c>
      <c r="I32" s="158">
        <v>15</v>
      </c>
      <c r="J32" s="158">
        <v>0</v>
      </c>
      <c r="K32" s="159">
        <v>86</v>
      </c>
      <c r="L32" s="159">
        <v>0</v>
      </c>
      <c r="M32" s="159">
        <v>0</v>
      </c>
      <c r="N32" s="122">
        <f t="shared" si="0"/>
        <v>728</v>
      </c>
      <c r="P32" s="208">
        <v>728</v>
      </c>
    </row>
    <row r="33" spans="1:16" ht="21.75" thickBot="1" x14ac:dyDescent="0.3">
      <c r="A33" s="49" t="s">
        <v>35</v>
      </c>
      <c r="B33" s="13" t="s">
        <v>38</v>
      </c>
      <c r="C33" s="160">
        <v>0</v>
      </c>
      <c r="D33" s="160">
        <v>1</v>
      </c>
      <c r="E33" s="160">
        <v>0</v>
      </c>
      <c r="F33" s="160">
        <v>0</v>
      </c>
      <c r="G33" s="160">
        <v>0</v>
      </c>
      <c r="H33" s="160">
        <v>45</v>
      </c>
      <c r="I33" s="160">
        <v>23</v>
      </c>
      <c r="J33" s="160">
        <v>0</v>
      </c>
      <c r="K33" s="161">
        <v>56</v>
      </c>
      <c r="L33" s="161">
        <v>0</v>
      </c>
      <c r="M33" s="161">
        <v>0</v>
      </c>
      <c r="N33" s="122">
        <f t="shared" si="0"/>
        <v>125</v>
      </c>
      <c r="P33" s="208">
        <v>125</v>
      </c>
    </row>
    <row r="34" spans="1:16" ht="29.25" thickBot="1" x14ac:dyDescent="0.3">
      <c r="A34" s="16"/>
      <c r="B34" s="16" t="s">
        <v>39</v>
      </c>
      <c r="C34" s="164">
        <f>SUM(C31:C33)</f>
        <v>3</v>
      </c>
      <c r="D34" s="164">
        <f>SUM(D31:D33)</f>
        <v>5</v>
      </c>
      <c r="E34" s="164">
        <f>SUM(E31:E33)</f>
        <v>0</v>
      </c>
      <c r="F34" s="164">
        <v>0</v>
      </c>
      <c r="G34" s="164">
        <v>0</v>
      </c>
      <c r="H34" s="164">
        <f>SUM(H31:H33)</f>
        <v>701</v>
      </c>
      <c r="I34" s="164">
        <f>SUM(I31:I33)</f>
        <v>48</v>
      </c>
      <c r="J34" s="164">
        <f>SUM(J31:J33)</f>
        <v>368</v>
      </c>
      <c r="K34" s="165">
        <f>SUM(K31:K33)</f>
        <v>214</v>
      </c>
      <c r="L34" s="165">
        <f>SUM(L31:L33)</f>
        <v>2108</v>
      </c>
      <c r="M34" s="165">
        <v>0</v>
      </c>
      <c r="N34" s="124">
        <f>SUM(C34:M34)</f>
        <v>3447</v>
      </c>
      <c r="P34" s="220">
        <f>SUM(P31:P33)</f>
        <v>3161</v>
      </c>
    </row>
    <row r="35" spans="1:16" ht="29.25" thickBot="1" x14ac:dyDescent="0.3">
      <c r="A35" s="125" t="s">
        <v>40</v>
      </c>
      <c r="B35" s="125" t="s">
        <v>40</v>
      </c>
      <c r="C35" s="166">
        <v>0</v>
      </c>
      <c r="D35" s="166">
        <v>0</v>
      </c>
      <c r="E35" s="166">
        <v>0</v>
      </c>
      <c r="F35" s="166">
        <v>0</v>
      </c>
      <c r="G35" s="166">
        <v>0</v>
      </c>
      <c r="H35" s="166">
        <v>0</v>
      </c>
      <c r="I35" s="166">
        <v>0</v>
      </c>
      <c r="J35" s="166">
        <v>0</v>
      </c>
      <c r="K35" s="166">
        <v>14</v>
      </c>
      <c r="L35" s="166">
        <v>0</v>
      </c>
      <c r="M35" s="166">
        <v>0</v>
      </c>
      <c r="N35" s="127">
        <f>SUM(C35:M35)</f>
        <v>14</v>
      </c>
      <c r="P35" s="221">
        <v>14</v>
      </c>
    </row>
    <row r="36" spans="1:16" ht="27" thickBot="1" x14ac:dyDescent="0.3">
      <c r="A36" s="52"/>
      <c r="B36" s="1" t="s">
        <v>41</v>
      </c>
      <c r="C36" s="167">
        <f>SUM(C7,C17,C25,C30,C34,C35)</f>
        <v>22</v>
      </c>
      <c r="D36" s="167">
        <f t="shared" ref="D36:J36" si="3">SUM(D7,D17,D25,D30,D34,D35)</f>
        <v>44</v>
      </c>
      <c r="E36" s="167">
        <f>SUM(E7,E17,E25,E30,E34)</f>
        <v>146</v>
      </c>
      <c r="F36" s="167">
        <f>SUM(F7,F25,F17,F30,F34,F35,)</f>
        <v>160</v>
      </c>
      <c r="G36" s="167">
        <f>SUM(G7,G17,G25,G30,G34)</f>
        <v>572</v>
      </c>
      <c r="H36" s="167">
        <f>SUM(H7,H17,H25,H30,H34)</f>
        <v>1689</v>
      </c>
      <c r="I36" s="167">
        <f t="shared" si="3"/>
        <v>429</v>
      </c>
      <c r="J36" s="167">
        <f t="shared" si="3"/>
        <v>391</v>
      </c>
      <c r="K36" s="167">
        <f>SUM(K7,K17,K25,K30,K34,K35)</f>
        <v>1851</v>
      </c>
      <c r="L36" s="167">
        <v>450</v>
      </c>
      <c r="M36" s="167">
        <f>SUM(M7,M17,M25,M30)</f>
        <v>179</v>
      </c>
      <c r="N36" s="128">
        <f>SUM(N7,N17,N25,N30,N34,N35)</f>
        <v>8041</v>
      </c>
      <c r="P36" s="220">
        <f>P7+P17+P25+P30+P34+P35</f>
        <v>7755</v>
      </c>
    </row>
  </sheetData>
  <mergeCells count="1">
    <mergeCell ref="A1:N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1BFF-4B82-45FE-BB78-2E4F47F08BD2}">
  <sheetPr codeName="Planilha7"/>
  <dimension ref="A1:Q36"/>
  <sheetViews>
    <sheetView zoomScale="55" zoomScaleNormal="55" workbookViewId="0">
      <selection activeCell="Q36" sqref="Q36"/>
    </sheetView>
  </sheetViews>
  <sheetFormatPr defaultRowHeight="15" x14ac:dyDescent="0.25"/>
  <cols>
    <col min="1" max="1" width="21.5703125" customWidth="1"/>
    <col min="2" max="2" width="35.28515625" customWidth="1"/>
    <col min="3" max="3" width="23.28515625" customWidth="1"/>
    <col min="4" max="4" width="29.5703125" customWidth="1"/>
    <col min="5" max="5" width="29.140625" customWidth="1"/>
    <col min="6" max="6" width="23.28515625" customWidth="1"/>
    <col min="7" max="7" width="22.28515625" customWidth="1"/>
    <col min="8" max="8" width="22.85546875" customWidth="1"/>
    <col min="9" max="9" width="19" customWidth="1"/>
    <col min="10" max="10" width="24.5703125" customWidth="1"/>
    <col min="11" max="11" width="22.140625" customWidth="1"/>
    <col min="12" max="12" width="17.7109375" customWidth="1"/>
    <col min="13" max="13" width="22.5703125" customWidth="1"/>
    <col min="14" max="14" width="18.7109375" customWidth="1"/>
    <col min="15" max="15" width="16.85546875" customWidth="1"/>
    <col min="16" max="16" width="15.28515625" customWidth="1"/>
    <col min="17" max="17" width="16.85546875" customWidth="1"/>
  </cols>
  <sheetData>
    <row r="1" spans="1:17" ht="21.75" thickBot="1" x14ac:dyDescent="0.3">
      <c r="A1" s="341" t="s">
        <v>74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3"/>
    </row>
    <row r="2" spans="1:17" ht="125.25" customHeight="1" thickBot="1" x14ac:dyDescent="0.3">
      <c r="A2" s="1" t="s">
        <v>0</v>
      </c>
      <c r="B2" s="1" t="s">
        <v>1</v>
      </c>
      <c r="C2" s="2" t="s">
        <v>95</v>
      </c>
      <c r="D2" s="2" t="s">
        <v>77</v>
      </c>
      <c r="E2" s="2" t="s">
        <v>75</v>
      </c>
      <c r="F2" s="2" t="s">
        <v>65</v>
      </c>
      <c r="G2" s="2" t="s">
        <v>66</v>
      </c>
      <c r="H2" s="2" t="s">
        <v>93</v>
      </c>
      <c r="I2" s="2" t="s">
        <v>78</v>
      </c>
      <c r="J2" s="2" t="s">
        <v>54</v>
      </c>
      <c r="K2" s="2" t="s">
        <v>79</v>
      </c>
      <c r="L2" s="2" t="s">
        <v>73</v>
      </c>
      <c r="M2" s="3" t="s">
        <v>94</v>
      </c>
      <c r="N2" s="3" t="s">
        <v>80</v>
      </c>
      <c r="O2" s="3" t="s">
        <v>81</v>
      </c>
      <c r="P2" s="3" t="s">
        <v>76</v>
      </c>
      <c r="Q2" s="3" t="s">
        <v>2</v>
      </c>
    </row>
    <row r="3" spans="1:17" ht="21.75" thickBot="1" x14ac:dyDescent="0.4">
      <c r="A3" s="4" t="s">
        <v>3</v>
      </c>
      <c r="B3" s="5" t="s">
        <v>4</v>
      </c>
      <c r="C3" s="168">
        <v>4</v>
      </c>
      <c r="D3" s="168">
        <v>0</v>
      </c>
      <c r="E3" s="168">
        <v>0</v>
      </c>
      <c r="F3" s="6">
        <v>1</v>
      </c>
      <c r="G3" s="6">
        <v>1</v>
      </c>
      <c r="H3" s="6">
        <v>0</v>
      </c>
      <c r="I3" s="6">
        <v>10</v>
      </c>
      <c r="J3" s="6">
        <v>10</v>
      </c>
      <c r="K3" s="6">
        <v>24</v>
      </c>
      <c r="L3" s="7">
        <v>0</v>
      </c>
      <c r="M3" s="6">
        <v>6</v>
      </c>
      <c r="N3" s="169">
        <v>0</v>
      </c>
      <c r="O3" s="8">
        <v>23</v>
      </c>
      <c r="P3" s="8">
        <v>0</v>
      </c>
      <c r="Q3" s="113">
        <f>SUM(C3:P3)</f>
        <v>79</v>
      </c>
    </row>
    <row r="4" spans="1:17" ht="21.75" thickBot="1" x14ac:dyDescent="0.4">
      <c r="A4" s="9" t="s">
        <v>3</v>
      </c>
      <c r="B4" s="10" t="s">
        <v>5</v>
      </c>
      <c r="C4" s="170">
        <v>1</v>
      </c>
      <c r="D4" s="170">
        <v>0</v>
      </c>
      <c r="E4" s="170">
        <v>0</v>
      </c>
      <c r="F4" s="7">
        <v>2</v>
      </c>
      <c r="G4" s="7">
        <v>4</v>
      </c>
      <c r="H4" s="7">
        <v>0</v>
      </c>
      <c r="I4" s="7">
        <v>12</v>
      </c>
      <c r="J4" s="7">
        <v>6</v>
      </c>
      <c r="K4" s="7">
        <v>3</v>
      </c>
      <c r="L4" s="114">
        <v>0</v>
      </c>
      <c r="M4" s="7">
        <v>6</v>
      </c>
      <c r="N4" s="171">
        <v>1</v>
      </c>
      <c r="O4" s="11">
        <v>6</v>
      </c>
      <c r="P4" s="11">
        <v>0</v>
      </c>
      <c r="Q4" s="113">
        <f>SUM(C4:P4)</f>
        <v>41</v>
      </c>
    </row>
    <row r="5" spans="1:17" ht="21.75" thickBot="1" x14ac:dyDescent="0.4">
      <c r="A5" s="9" t="s">
        <v>3</v>
      </c>
      <c r="B5" s="10" t="s">
        <v>6</v>
      </c>
      <c r="C5" s="170">
        <v>3</v>
      </c>
      <c r="D5" s="170">
        <v>1</v>
      </c>
      <c r="E5" s="170">
        <v>0</v>
      </c>
      <c r="F5" s="7">
        <v>2</v>
      </c>
      <c r="G5" s="7">
        <v>3</v>
      </c>
      <c r="H5" s="7">
        <v>0</v>
      </c>
      <c r="I5" s="7">
        <v>9</v>
      </c>
      <c r="J5" s="7">
        <v>5</v>
      </c>
      <c r="K5" s="7">
        <v>23</v>
      </c>
      <c r="L5" s="7">
        <v>85</v>
      </c>
      <c r="M5" s="7">
        <v>2</v>
      </c>
      <c r="N5" s="171">
        <v>0</v>
      </c>
      <c r="O5" s="11">
        <v>5</v>
      </c>
      <c r="P5" s="11">
        <v>0</v>
      </c>
      <c r="Q5" s="113">
        <f>SUM(C5:P5)</f>
        <v>138</v>
      </c>
    </row>
    <row r="6" spans="1:17" ht="21.75" thickBot="1" x14ac:dyDescent="0.4">
      <c r="A6" s="12" t="s">
        <v>3</v>
      </c>
      <c r="B6" s="13" t="s">
        <v>7</v>
      </c>
      <c r="C6" s="172">
        <v>2</v>
      </c>
      <c r="D6" s="172">
        <v>1</v>
      </c>
      <c r="E6" s="172">
        <v>1</v>
      </c>
      <c r="F6" s="14">
        <v>1</v>
      </c>
      <c r="G6" s="14">
        <v>2</v>
      </c>
      <c r="H6" s="14">
        <v>0</v>
      </c>
      <c r="I6" s="14">
        <v>20</v>
      </c>
      <c r="J6" s="14">
        <v>4</v>
      </c>
      <c r="K6" s="14">
        <v>37</v>
      </c>
      <c r="L6" s="14">
        <v>9</v>
      </c>
      <c r="M6" s="14">
        <v>7</v>
      </c>
      <c r="N6" s="173">
        <v>3</v>
      </c>
      <c r="O6" s="15">
        <v>1</v>
      </c>
      <c r="P6" s="15">
        <v>0</v>
      </c>
      <c r="Q6" s="113">
        <f>SUM(C6:P6)</f>
        <v>88</v>
      </c>
    </row>
    <row r="7" spans="1:17" ht="29.25" thickBot="1" x14ac:dyDescent="0.4">
      <c r="A7" s="16"/>
      <c r="B7" s="16" t="s">
        <v>8</v>
      </c>
      <c r="C7" s="174">
        <f>SUM(C3:C6)</f>
        <v>10</v>
      </c>
      <c r="D7" s="174">
        <f>SUM(D3:D6)</f>
        <v>2</v>
      </c>
      <c r="E7" s="174">
        <f>SUM(E3:E6)</f>
        <v>1</v>
      </c>
      <c r="F7" s="17">
        <f>SUM(F3:F6)</f>
        <v>6</v>
      </c>
      <c r="G7" s="17">
        <f>SUM(G3:G6)</f>
        <v>10</v>
      </c>
      <c r="H7" s="17">
        <v>0</v>
      </c>
      <c r="I7" s="17">
        <f t="shared" ref="I7:N7" si="0">SUM(I3:I6)</f>
        <v>51</v>
      </c>
      <c r="J7" s="17">
        <f t="shared" si="0"/>
        <v>25</v>
      </c>
      <c r="K7" s="17">
        <f t="shared" si="0"/>
        <v>87</v>
      </c>
      <c r="L7" s="17">
        <f t="shared" si="0"/>
        <v>94</v>
      </c>
      <c r="M7" s="17">
        <f t="shared" si="0"/>
        <v>21</v>
      </c>
      <c r="N7" s="18">
        <f t="shared" si="0"/>
        <v>4</v>
      </c>
      <c r="O7" s="18">
        <f>SUM(O3:O6)</f>
        <v>35</v>
      </c>
      <c r="P7" s="18">
        <v>0</v>
      </c>
      <c r="Q7" s="115">
        <f>SUM(C7:O7)</f>
        <v>346</v>
      </c>
    </row>
    <row r="8" spans="1:17" ht="21.75" thickBot="1" x14ac:dyDescent="0.4">
      <c r="A8" s="19" t="s">
        <v>9</v>
      </c>
      <c r="B8" s="5" t="s">
        <v>10</v>
      </c>
      <c r="C8" s="168">
        <v>0</v>
      </c>
      <c r="D8" s="168">
        <v>2</v>
      </c>
      <c r="E8" s="168">
        <v>1</v>
      </c>
      <c r="F8" s="6">
        <v>3</v>
      </c>
      <c r="G8" s="6">
        <v>2</v>
      </c>
      <c r="H8" s="6">
        <v>8</v>
      </c>
      <c r="I8" s="6">
        <v>0</v>
      </c>
      <c r="J8" s="6">
        <v>4</v>
      </c>
      <c r="K8" s="6">
        <v>0</v>
      </c>
      <c r="L8" s="6">
        <v>29</v>
      </c>
      <c r="M8" s="6">
        <v>17</v>
      </c>
      <c r="N8" s="169">
        <v>1</v>
      </c>
      <c r="O8" s="8">
        <v>38</v>
      </c>
      <c r="P8" s="8">
        <v>0</v>
      </c>
      <c r="Q8" s="113">
        <f t="shared" ref="Q8:Q16" si="1">SUM(C8:P8)</f>
        <v>105</v>
      </c>
    </row>
    <row r="9" spans="1:17" ht="21.75" thickBot="1" x14ac:dyDescent="0.4">
      <c r="A9" s="20" t="s">
        <v>9</v>
      </c>
      <c r="B9" s="10" t="s">
        <v>11</v>
      </c>
      <c r="C9" s="170">
        <v>3</v>
      </c>
      <c r="D9" s="170">
        <v>1</v>
      </c>
      <c r="E9" s="170">
        <v>1</v>
      </c>
      <c r="F9" s="7">
        <v>1</v>
      </c>
      <c r="G9" s="7">
        <v>4</v>
      </c>
      <c r="H9" s="7">
        <v>4</v>
      </c>
      <c r="I9" s="7">
        <v>0</v>
      </c>
      <c r="J9" s="7">
        <v>31</v>
      </c>
      <c r="K9" s="7">
        <v>82</v>
      </c>
      <c r="L9" s="7">
        <v>91</v>
      </c>
      <c r="M9" s="7">
        <v>20</v>
      </c>
      <c r="N9" s="171">
        <v>2</v>
      </c>
      <c r="O9" s="11">
        <v>27</v>
      </c>
      <c r="P9" s="11">
        <v>0</v>
      </c>
      <c r="Q9" s="113">
        <f t="shared" si="1"/>
        <v>267</v>
      </c>
    </row>
    <row r="10" spans="1:17" ht="21.75" thickBot="1" x14ac:dyDescent="0.4">
      <c r="A10" s="20" t="s">
        <v>9</v>
      </c>
      <c r="B10" s="10" t="s">
        <v>12</v>
      </c>
      <c r="C10" s="170">
        <v>3</v>
      </c>
      <c r="D10" s="170">
        <v>15</v>
      </c>
      <c r="E10" s="170">
        <v>2</v>
      </c>
      <c r="F10" s="7">
        <v>1</v>
      </c>
      <c r="G10" s="7">
        <v>2</v>
      </c>
      <c r="H10" s="7">
        <v>16</v>
      </c>
      <c r="I10" s="7">
        <v>0</v>
      </c>
      <c r="J10" s="7">
        <v>9</v>
      </c>
      <c r="K10" s="7">
        <v>0</v>
      </c>
      <c r="L10" s="7">
        <v>0</v>
      </c>
      <c r="M10" s="7">
        <v>13</v>
      </c>
      <c r="N10" s="171">
        <v>3</v>
      </c>
      <c r="O10" s="11">
        <v>15</v>
      </c>
      <c r="P10" s="11">
        <v>0</v>
      </c>
      <c r="Q10" s="113">
        <f t="shared" si="1"/>
        <v>79</v>
      </c>
    </row>
    <row r="11" spans="1:17" ht="21.75" thickBot="1" x14ac:dyDescent="0.4">
      <c r="A11" s="20" t="s">
        <v>9</v>
      </c>
      <c r="B11" s="10" t="s">
        <v>13</v>
      </c>
      <c r="C11" s="170">
        <v>3</v>
      </c>
      <c r="D11" s="170">
        <v>1</v>
      </c>
      <c r="E11" s="170">
        <v>0</v>
      </c>
      <c r="F11" s="7">
        <v>1</v>
      </c>
      <c r="G11" s="7">
        <v>1</v>
      </c>
      <c r="H11" s="7">
        <v>6</v>
      </c>
      <c r="I11" s="7">
        <v>0</v>
      </c>
      <c r="J11" s="7">
        <v>13</v>
      </c>
      <c r="K11" s="7">
        <v>4</v>
      </c>
      <c r="L11" s="7">
        <v>4</v>
      </c>
      <c r="M11" s="7">
        <v>9</v>
      </c>
      <c r="N11" s="171">
        <v>2</v>
      </c>
      <c r="O11" s="11">
        <v>30</v>
      </c>
      <c r="P11" s="11">
        <v>0</v>
      </c>
      <c r="Q11" s="113">
        <f t="shared" si="1"/>
        <v>74</v>
      </c>
    </row>
    <row r="12" spans="1:17" ht="21.75" thickBot="1" x14ac:dyDescent="0.4">
      <c r="A12" s="20" t="s">
        <v>9</v>
      </c>
      <c r="B12" s="10" t="s">
        <v>14</v>
      </c>
      <c r="C12" s="170">
        <v>0</v>
      </c>
      <c r="D12" s="170">
        <v>0</v>
      </c>
      <c r="E12" s="170">
        <v>0</v>
      </c>
      <c r="F12" s="7">
        <v>1</v>
      </c>
      <c r="G12" s="7">
        <v>0</v>
      </c>
      <c r="H12" s="7">
        <v>47</v>
      </c>
      <c r="I12" s="7">
        <v>0</v>
      </c>
      <c r="J12" s="7">
        <v>13</v>
      </c>
      <c r="K12" s="7">
        <v>0</v>
      </c>
      <c r="L12" s="7">
        <v>0</v>
      </c>
      <c r="M12" s="7">
        <v>9</v>
      </c>
      <c r="N12" s="171">
        <v>0</v>
      </c>
      <c r="O12" s="11">
        <v>7</v>
      </c>
      <c r="P12" s="11">
        <v>0</v>
      </c>
      <c r="Q12" s="113">
        <f t="shared" si="1"/>
        <v>77</v>
      </c>
    </row>
    <row r="13" spans="1:17" ht="21.75" thickBot="1" x14ac:dyDescent="0.4">
      <c r="A13" s="20" t="s">
        <v>9</v>
      </c>
      <c r="B13" s="10" t="s">
        <v>15</v>
      </c>
      <c r="C13" s="170">
        <v>4</v>
      </c>
      <c r="D13" s="170">
        <v>0</v>
      </c>
      <c r="E13" s="175">
        <v>3</v>
      </c>
      <c r="F13" s="7">
        <v>3</v>
      </c>
      <c r="G13" s="7">
        <v>3</v>
      </c>
      <c r="H13" s="7">
        <v>17</v>
      </c>
      <c r="I13" s="7">
        <v>0</v>
      </c>
      <c r="J13" s="7">
        <v>17</v>
      </c>
      <c r="K13" s="7">
        <v>11</v>
      </c>
      <c r="L13" s="7">
        <v>0</v>
      </c>
      <c r="M13" s="7">
        <v>28</v>
      </c>
      <c r="N13" s="171">
        <v>0</v>
      </c>
      <c r="O13" s="11">
        <v>54</v>
      </c>
      <c r="P13" s="11">
        <v>0</v>
      </c>
      <c r="Q13" s="113">
        <f t="shared" si="1"/>
        <v>140</v>
      </c>
    </row>
    <row r="14" spans="1:17" ht="21.75" thickBot="1" x14ac:dyDescent="0.4">
      <c r="A14" s="20" t="s">
        <v>9</v>
      </c>
      <c r="B14" s="10" t="s">
        <v>16</v>
      </c>
      <c r="C14" s="170">
        <v>0</v>
      </c>
      <c r="D14" s="170">
        <v>0</v>
      </c>
      <c r="E14" s="170">
        <v>0</v>
      </c>
      <c r="F14" s="7">
        <v>0</v>
      </c>
      <c r="G14" s="7">
        <v>3</v>
      </c>
      <c r="H14" s="7">
        <v>5</v>
      </c>
      <c r="I14" s="7">
        <v>0</v>
      </c>
      <c r="J14" s="7">
        <v>5</v>
      </c>
      <c r="K14" s="7">
        <v>0</v>
      </c>
      <c r="L14" s="7">
        <v>0</v>
      </c>
      <c r="M14" s="7">
        <v>7</v>
      </c>
      <c r="N14" s="171">
        <v>0</v>
      </c>
      <c r="O14" s="11">
        <v>14</v>
      </c>
      <c r="P14" s="11">
        <v>0</v>
      </c>
      <c r="Q14" s="113">
        <f t="shared" si="1"/>
        <v>34</v>
      </c>
    </row>
    <row r="15" spans="1:17" ht="21.75" thickBot="1" x14ac:dyDescent="0.4">
      <c r="A15" s="20" t="s">
        <v>9</v>
      </c>
      <c r="B15" s="10" t="s">
        <v>17</v>
      </c>
      <c r="C15" s="170">
        <v>0</v>
      </c>
      <c r="D15" s="170">
        <v>0</v>
      </c>
      <c r="E15" s="170">
        <v>0</v>
      </c>
      <c r="F15" s="7">
        <v>3</v>
      </c>
      <c r="G15" s="7">
        <v>3</v>
      </c>
      <c r="H15" s="7">
        <v>10</v>
      </c>
      <c r="I15" s="7">
        <v>0</v>
      </c>
      <c r="J15" s="7">
        <v>4</v>
      </c>
      <c r="K15" s="7">
        <v>0</v>
      </c>
      <c r="L15" s="7">
        <v>0</v>
      </c>
      <c r="M15" s="7">
        <v>19</v>
      </c>
      <c r="N15" s="171">
        <v>2</v>
      </c>
      <c r="O15" s="11">
        <v>18</v>
      </c>
      <c r="P15" s="11">
        <v>0</v>
      </c>
      <c r="Q15" s="113">
        <f t="shared" si="1"/>
        <v>59</v>
      </c>
    </row>
    <row r="16" spans="1:17" ht="21.75" thickBot="1" x14ac:dyDescent="0.4">
      <c r="A16" s="21" t="s">
        <v>9</v>
      </c>
      <c r="B16" s="13" t="s">
        <v>18</v>
      </c>
      <c r="C16" s="172">
        <v>0</v>
      </c>
      <c r="D16" s="172">
        <v>0</v>
      </c>
      <c r="E16" s="172">
        <v>0</v>
      </c>
      <c r="F16" s="14">
        <v>3</v>
      </c>
      <c r="G16" s="14">
        <v>3</v>
      </c>
      <c r="H16" s="14">
        <v>6</v>
      </c>
      <c r="I16" s="14">
        <v>0</v>
      </c>
      <c r="J16" s="14">
        <v>11</v>
      </c>
      <c r="K16" s="14">
        <v>10</v>
      </c>
      <c r="L16" s="14">
        <v>13</v>
      </c>
      <c r="M16" s="14">
        <v>11</v>
      </c>
      <c r="N16" s="173">
        <v>1</v>
      </c>
      <c r="O16" s="15">
        <v>6</v>
      </c>
      <c r="P16" s="15">
        <v>0</v>
      </c>
      <c r="Q16" s="113">
        <f t="shared" si="1"/>
        <v>64</v>
      </c>
    </row>
    <row r="17" spans="1:17" ht="29.25" thickBot="1" x14ac:dyDescent="0.4">
      <c r="A17" s="16"/>
      <c r="B17" s="16" t="s">
        <v>19</v>
      </c>
      <c r="C17" s="176">
        <f t="shared" ref="C17:L17" si="2">SUM(C8:C16)</f>
        <v>13</v>
      </c>
      <c r="D17" s="176">
        <f>SUM(D8:D16)</f>
        <v>19</v>
      </c>
      <c r="E17" s="176">
        <f>SUM(E8:E16)</f>
        <v>7</v>
      </c>
      <c r="F17" s="22">
        <f t="shared" si="2"/>
        <v>16</v>
      </c>
      <c r="G17" s="22">
        <f t="shared" si="2"/>
        <v>21</v>
      </c>
      <c r="H17" s="22">
        <f>SUM(H8:H16)</f>
        <v>119</v>
      </c>
      <c r="I17" s="22">
        <v>0</v>
      </c>
      <c r="J17" s="22">
        <f t="shared" si="2"/>
        <v>107</v>
      </c>
      <c r="K17" s="22">
        <f t="shared" si="2"/>
        <v>107</v>
      </c>
      <c r="L17" s="22">
        <f t="shared" si="2"/>
        <v>137</v>
      </c>
      <c r="M17" s="22">
        <f>SUM(M8:M16)</f>
        <v>133</v>
      </c>
      <c r="N17" s="177">
        <f>SUM(N8:N16)</f>
        <v>11</v>
      </c>
      <c r="O17" s="62">
        <f>SUM(O8:O16)</f>
        <v>209</v>
      </c>
      <c r="P17" s="62">
        <v>0</v>
      </c>
      <c r="Q17" s="116">
        <f>SUM(C17:O17)</f>
        <v>899</v>
      </c>
    </row>
    <row r="18" spans="1:17" ht="21.75" thickBot="1" x14ac:dyDescent="0.4">
      <c r="A18" s="23" t="s">
        <v>20</v>
      </c>
      <c r="B18" s="5" t="s">
        <v>21</v>
      </c>
      <c r="C18" s="168">
        <v>0</v>
      </c>
      <c r="D18" s="168">
        <v>0</v>
      </c>
      <c r="E18" s="168">
        <v>0</v>
      </c>
      <c r="F18" s="6">
        <v>0</v>
      </c>
      <c r="G18" s="6">
        <v>0</v>
      </c>
      <c r="H18" s="6">
        <v>0</v>
      </c>
      <c r="I18" s="6">
        <v>1</v>
      </c>
      <c r="J18" s="6">
        <v>1</v>
      </c>
      <c r="K18" s="6">
        <v>0</v>
      </c>
      <c r="L18" s="6">
        <v>0</v>
      </c>
      <c r="M18" s="6">
        <v>1</v>
      </c>
      <c r="N18" s="169">
        <v>0</v>
      </c>
      <c r="O18" s="8">
        <v>0</v>
      </c>
      <c r="P18" s="8">
        <v>0</v>
      </c>
      <c r="Q18" s="113">
        <f t="shared" ref="Q18:Q29" si="3">SUM(C18:P18)</f>
        <v>3</v>
      </c>
    </row>
    <row r="19" spans="1:17" ht="21.75" thickBot="1" x14ac:dyDescent="0.4">
      <c r="A19" s="24" t="s">
        <v>20</v>
      </c>
      <c r="B19" s="25" t="s">
        <v>22</v>
      </c>
      <c r="C19" s="178">
        <v>0</v>
      </c>
      <c r="D19" s="178">
        <v>0</v>
      </c>
      <c r="E19" s="178">
        <v>0</v>
      </c>
      <c r="F19" s="26">
        <v>0</v>
      </c>
      <c r="G19" s="26">
        <v>0</v>
      </c>
      <c r="H19" s="26">
        <v>0</v>
      </c>
      <c r="I19" s="26">
        <v>1</v>
      </c>
      <c r="J19" s="26">
        <v>0</v>
      </c>
      <c r="K19" s="26">
        <v>0</v>
      </c>
      <c r="L19" s="26">
        <v>0</v>
      </c>
      <c r="M19" s="26">
        <v>0</v>
      </c>
      <c r="N19" s="179">
        <v>0</v>
      </c>
      <c r="O19" s="11">
        <v>1</v>
      </c>
      <c r="P19" s="11">
        <v>0</v>
      </c>
      <c r="Q19" s="113">
        <f t="shared" si="3"/>
        <v>2</v>
      </c>
    </row>
    <row r="20" spans="1:17" ht="21.75" thickBot="1" x14ac:dyDescent="0.4">
      <c r="A20" s="27" t="s">
        <v>20</v>
      </c>
      <c r="B20" s="10" t="s">
        <v>23</v>
      </c>
      <c r="C20" s="170">
        <v>1</v>
      </c>
      <c r="D20" s="170">
        <v>1</v>
      </c>
      <c r="E20" s="170">
        <v>0</v>
      </c>
      <c r="F20" s="7">
        <v>1</v>
      </c>
      <c r="G20" s="7">
        <v>0</v>
      </c>
      <c r="H20" s="7">
        <v>0</v>
      </c>
      <c r="I20" s="7">
        <v>22</v>
      </c>
      <c r="J20" s="7">
        <v>3</v>
      </c>
      <c r="K20" s="7">
        <v>11</v>
      </c>
      <c r="L20" s="7">
        <v>9</v>
      </c>
      <c r="M20" s="7">
        <v>10</v>
      </c>
      <c r="N20" s="171">
        <v>0</v>
      </c>
      <c r="O20" s="11">
        <v>4</v>
      </c>
      <c r="P20" s="11">
        <v>0</v>
      </c>
      <c r="Q20" s="113">
        <f t="shared" si="3"/>
        <v>62</v>
      </c>
    </row>
    <row r="21" spans="1:17" ht="21.75" thickBot="1" x14ac:dyDescent="0.4">
      <c r="A21" s="27" t="s">
        <v>20</v>
      </c>
      <c r="B21" s="10" t="s">
        <v>24</v>
      </c>
      <c r="C21" s="170">
        <v>8</v>
      </c>
      <c r="D21" s="170">
        <v>2</v>
      </c>
      <c r="E21" s="170">
        <v>0</v>
      </c>
      <c r="F21" s="7">
        <v>5</v>
      </c>
      <c r="G21" s="7">
        <v>4</v>
      </c>
      <c r="H21" s="7">
        <v>0</v>
      </c>
      <c r="I21" s="7">
        <v>42</v>
      </c>
      <c r="J21" s="7">
        <v>14</v>
      </c>
      <c r="K21" s="7">
        <v>0</v>
      </c>
      <c r="L21" s="7">
        <v>0</v>
      </c>
      <c r="M21" s="7">
        <v>35</v>
      </c>
      <c r="N21" s="171">
        <v>1</v>
      </c>
      <c r="O21" s="11">
        <v>60</v>
      </c>
      <c r="P21" s="11">
        <v>0</v>
      </c>
      <c r="Q21" s="113">
        <f t="shared" si="3"/>
        <v>171</v>
      </c>
    </row>
    <row r="22" spans="1:17" ht="21.75" thickBot="1" x14ac:dyDescent="0.4">
      <c r="A22" s="27" t="s">
        <v>20</v>
      </c>
      <c r="B22" s="10" t="s">
        <v>25</v>
      </c>
      <c r="C22" s="170">
        <v>0</v>
      </c>
      <c r="D22" s="170">
        <v>1</v>
      </c>
      <c r="E22" s="170">
        <v>0</v>
      </c>
      <c r="F22" s="7">
        <v>0</v>
      </c>
      <c r="G22" s="7">
        <v>3</v>
      </c>
      <c r="H22" s="7">
        <v>0</v>
      </c>
      <c r="I22" s="7">
        <v>3</v>
      </c>
      <c r="J22" s="7">
        <v>2</v>
      </c>
      <c r="K22" s="7">
        <v>0</v>
      </c>
      <c r="L22" s="7">
        <v>0</v>
      </c>
      <c r="M22" s="7">
        <v>2</v>
      </c>
      <c r="N22" s="171">
        <v>0</v>
      </c>
      <c r="O22" s="15">
        <v>8</v>
      </c>
      <c r="P22" s="15">
        <v>55</v>
      </c>
      <c r="Q22" s="113">
        <f t="shared" si="3"/>
        <v>74</v>
      </c>
    </row>
    <row r="23" spans="1:17" ht="21.75" thickBot="1" x14ac:dyDescent="0.4">
      <c r="A23" s="27" t="s">
        <v>20</v>
      </c>
      <c r="B23" s="28" t="s">
        <v>26</v>
      </c>
      <c r="C23" s="180">
        <v>3</v>
      </c>
      <c r="D23" s="180">
        <v>0</v>
      </c>
      <c r="E23" s="180">
        <v>0</v>
      </c>
      <c r="F23" s="29">
        <v>1</v>
      </c>
      <c r="G23" s="29">
        <v>0</v>
      </c>
      <c r="H23" s="29">
        <v>0</v>
      </c>
      <c r="I23" s="29">
        <v>7</v>
      </c>
      <c r="J23" s="29">
        <v>8</v>
      </c>
      <c r="K23" s="29">
        <v>0</v>
      </c>
      <c r="L23" s="29">
        <v>0</v>
      </c>
      <c r="M23" s="29">
        <v>2</v>
      </c>
      <c r="N23" s="181">
        <v>0</v>
      </c>
      <c r="O23" s="182">
        <v>10</v>
      </c>
      <c r="P23" s="183">
        <v>0</v>
      </c>
      <c r="Q23" s="119">
        <f t="shared" si="3"/>
        <v>31</v>
      </c>
    </row>
    <row r="24" spans="1:17" ht="21.75" thickBot="1" x14ac:dyDescent="0.4">
      <c r="A24" s="30" t="s">
        <v>20</v>
      </c>
      <c r="B24" s="13" t="s">
        <v>27</v>
      </c>
      <c r="C24" s="172">
        <v>1</v>
      </c>
      <c r="D24" s="172">
        <v>0</v>
      </c>
      <c r="E24" s="172">
        <v>0</v>
      </c>
      <c r="F24" s="14">
        <v>1</v>
      </c>
      <c r="G24" s="14">
        <v>3</v>
      </c>
      <c r="H24" s="14">
        <v>0</v>
      </c>
      <c r="I24" s="14">
        <v>9</v>
      </c>
      <c r="J24" s="14">
        <v>0</v>
      </c>
      <c r="K24" s="14">
        <v>0</v>
      </c>
      <c r="L24" s="14">
        <v>0</v>
      </c>
      <c r="M24" s="14">
        <v>18</v>
      </c>
      <c r="N24" s="184">
        <v>0</v>
      </c>
      <c r="O24" s="118">
        <v>1</v>
      </c>
      <c r="P24" s="118">
        <v>0</v>
      </c>
      <c r="Q24" s="119">
        <f t="shared" si="3"/>
        <v>33</v>
      </c>
    </row>
    <row r="25" spans="1:17" ht="29.25" thickBot="1" x14ac:dyDescent="0.4">
      <c r="A25" s="16"/>
      <c r="B25" s="16" t="s">
        <v>28</v>
      </c>
      <c r="C25" s="185">
        <f>SUM(C18:C24)</f>
        <v>13</v>
      </c>
      <c r="D25" s="185">
        <f>SUM(D18:D24)</f>
        <v>4</v>
      </c>
      <c r="E25" s="185">
        <f>SUM(E18:E24)</f>
        <v>0</v>
      </c>
      <c r="F25" s="31">
        <f>SUM(F18:F24)</f>
        <v>8</v>
      </c>
      <c r="G25" s="31">
        <f>SUM(G18:G24)</f>
        <v>10</v>
      </c>
      <c r="H25" s="31">
        <v>0</v>
      </c>
      <c r="I25" s="31">
        <f t="shared" ref="I25:N25" si="4">SUM(I18:I24)</f>
        <v>85</v>
      </c>
      <c r="J25" s="31">
        <f t="shared" si="4"/>
        <v>28</v>
      </c>
      <c r="K25" s="31">
        <f t="shared" si="4"/>
        <v>11</v>
      </c>
      <c r="L25" s="31">
        <f t="shared" si="4"/>
        <v>9</v>
      </c>
      <c r="M25" s="31">
        <f t="shared" si="4"/>
        <v>68</v>
      </c>
      <c r="N25" s="186">
        <f t="shared" si="4"/>
        <v>1</v>
      </c>
      <c r="O25" s="120">
        <f>SUM(O18:O24)</f>
        <v>84</v>
      </c>
      <c r="P25" s="120">
        <f>SUM(P18:P24)</f>
        <v>55</v>
      </c>
      <c r="Q25" s="121">
        <f t="shared" si="3"/>
        <v>376</v>
      </c>
    </row>
    <row r="26" spans="1:17" ht="21.75" thickBot="1" x14ac:dyDescent="0.4">
      <c r="A26" s="33" t="s">
        <v>29</v>
      </c>
      <c r="B26" s="34" t="s">
        <v>30</v>
      </c>
      <c r="C26" s="187">
        <v>1</v>
      </c>
      <c r="D26" s="187">
        <v>0</v>
      </c>
      <c r="E26" s="187">
        <v>0</v>
      </c>
      <c r="F26" s="35">
        <v>3</v>
      </c>
      <c r="G26" s="35">
        <v>0</v>
      </c>
      <c r="H26" s="35">
        <v>0</v>
      </c>
      <c r="I26" s="35">
        <v>0</v>
      </c>
      <c r="J26" s="35">
        <v>11</v>
      </c>
      <c r="K26" s="35">
        <v>28</v>
      </c>
      <c r="L26" s="35">
        <v>122</v>
      </c>
      <c r="M26" s="35">
        <v>8</v>
      </c>
      <c r="N26" s="188">
        <v>2</v>
      </c>
      <c r="O26" s="36">
        <v>4</v>
      </c>
      <c r="P26" s="36">
        <v>0</v>
      </c>
      <c r="Q26" s="122">
        <f t="shared" si="3"/>
        <v>179</v>
      </c>
    </row>
    <row r="27" spans="1:17" ht="21.75" thickBot="1" x14ac:dyDescent="0.4">
      <c r="A27" s="37" t="s">
        <v>29</v>
      </c>
      <c r="B27" s="38" t="s">
        <v>31</v>
      </c>
      <c r="C27" s="189">
        <v>11</v>
      </c>
      <c r="D27" s="189">
        <v>1</v>
      </c>
      <c r="E27" s="189">
        <v>0</v>
      </c>
      <c r="F27" s="39">
        <v>6</v>
      </c>
      <c r="G27" s="39">
        <v>10</v>
      </c>
      <c r="H27" s="39">
        <v>0</v>
      </c>
      <c r="I27" s="39">
        <v>0</v>
      </c>
      <c r="J27" s="39">
        <v>17</v>
      </c>
      <c r="K27" s="39">
        <v>73</v>
      </c>
      <c r="L27" s="39">
        <v>20</v>
      </c>
      <c r="M27" s="39">
        <v>26</v>
      </c>
      <c r="N27" s="190">
        <v>4</v>
      </c>
      <c r="O27" s="40">
        <v>23</v>
      </c>
      <c r="P27" s="40">
        <v>0</v>
      </c>
      <c r="Q27" s="122">
        <f t="shared" si="3"/>
        <v>191</v>
      </c>
    </row>
    <row r="28" spans="1:17" ht="21.75" thickBot="1" x14ac:dyDescent="0.4">
      <c r="A28" s="37" t="s">
        <v>29</v>
      </c>
      <c r="B28" s="38" t="s">
        <v>32</v>
      </c>
      <c r="C28" s="189">
        <v>16</v>
      </c>
      <c r="D28" s="189">
        <v>6</v>
      </c>
      <c r="E28" s="175">
        <v>1</v>
      </c>
      <c r="F28" s="39">
        <v>10</v>
      </c>
      <c r="G28" s="39">
        <v>18</v>
      </c>
      <c r="H28" s="39">
        <v>0</v>
      </c>
      <c r="I28" s="39">
        <v>0</v>
      </c>
      <c r="J28" s="39">
        <v>30</v>
      </c>
      <c r="K28" s="39">
        <v>30</v>
      </c>
      <c r="L28" s="39">
        <v>144</v>
      </c>
      <c r="M28" s="39">
        <v>118</v>
      </c>
      <c r="N28" s="190">
        <v>196</v>
      </c>
      <c r="O28" s="40">
        <v>83</v>
      </c>
      <c r="P28" s="40">
        <v>0</v>
      </c>
      <c r="Q28" s="122">
        <f t="shared" si="3"/>
        <v>652</v>
      </c>
    </row>
    <row r="29" spans="1:17" ht="21.75" thickBot="1" x14ac:dyDescent="0.4">
      <c r="A29" s="41" t="s">
        <v>29</v>
      </c>
      <c r="B29" s="42" t="s">
        <v>33</v>
      </c>
      <c r="C29" s="191">
        <v>26</v>
      </c>
      <c r="D29" s="191">
        <v>1</v>
      </c>
      <c r="E29" s="191">
        <v>4</v>
      </c>
      <c r="F29" s="43">
        <v>8</v>
      </c>
      <c r="G29" s="43">
        <v>25</v>
      </c>
      <c r="H29" s="43">
        <v>0</v>
      </c>
      <c r="I29" s="43">
        <v>0</v>
      </c>
      <c r="J29" s="43">
        <v>70</v>
      </c>
      <c r="K29" s="43">
        <v>0</v>
      </c>
      <c r="L29" s="43">
        <v>0</v>
      </c>
      <c r="M29" s="43">
        <v>141</v>
      </c>
      <c r="N29" s="192">
        <v>2</v>
      </c>
      <c r="O29" s="44">
        <v>106</v>
      </c>
      <c r="P29" s="44">
        <v>0</v>
      </c>
      <c r="Q29" s="122">
        <f t="shared" si="3"/>
        <v>383</v>
      </c>
    </row>
    <row r="30" spans="1:17" ht="29.25" thickBot="1" x14ac:dyDescent="0.4">
      <c r="A30" s="16"/>
      <c r="B30" s="16" t="s">
        <v>34</v>
      </c>
      <c r="C30" s="193">
        <f>SUM(C26:C29)</f>
        <v>54</v>
      </c>
      <c r="D30" s="193">
        <f>SUM(D26:D29)</f>
        <v>8</v>
      </c>
      <c r="E30" s="193">
        <f>SUM(E26:E29)</f>
        <v>5</v>
      </c>
      <c r="F30" s="45">
        <f>SUM(F26:F29)</f>
        <v>27</v>
      </c>
      <c r="G30" s="45">
        <f>SUM(G26:G29)</f>
        <v>53</v>
      </c>
      <c r="H30" s="45">
        <v>0</v>
      </c>
      <c r="I30" s="45">
        <v>0</v>
      </c>
      <c r="J30" s="45">
        <f t="shared" ref="J30:O30" si="5">SUM(J26:J29)</f>
        <v>128</v>
      </c>
      <c r="K30" s="45">
        <f t="shared" si="5"/>
        <v>131</v>
      </c>
      <c r="L30" s="45">
        <f t="shared" si="5"/>
        <v>286</v>
      </c>
      <c r="M30" s="45">
        <f t="shared" si="5"/>
        <v>293</v>
      </c>
      <c r="N30" s="194">
        <f t="shared" si="5"/>
        <v>204</v>
      </c>
      <c r="O30" s="46">
        <f t="shared" si="5"/>
        <v>216</v>
      </c>
      <c r="P30" s="46">
        <v>0</v>
      </c>
      <c r="Q30" s="123">
        <f>SUM(C30:O30)</f>
        <v>1405</v>
      </c>
    </row>
    <row r="31" spans="1:17" ht="21.75" thickBot="1" x14ac:dyDescent="0.4">
      <c r="A31" s="47" t="s">
        <v>35</v>
      </c>
      <c r="B31" s="5" t="s">
        <v>36</v>
      </c>
      <c r="C31" s="187">
        <v>2</v>
      </c>
      <c r="D31" s="187">
        <v>0</v>
      </c>
      <c r="E31" s="187">
        <v>0</v>
      </c>
      <c r="F31" s="35">
        <v>4</v>
      </c>
      <c r="G31" s="35">
        <v>1</v>
      </c>
      <c r="H31" s="35">
        <v>0</v>
      </c>
      <c r="I31" s="35">
        <v>0</v>
      </c>
      <c r="J31" s="35">
        <v>5</v>
      </c>
      <c r="K31" s="35">
        <v>0</v>
      </c>
      <c r="L31" s="35">
        <v>413</v>
      </c>
      <c r="M31" s="35">
        <v>13</v>
      </c>
      <c r="N31" s="188">
        <v>1</v>
      </c>
      <c r="O31" s="36">
        <v>13</v>
      </c>
      <c r="P31" s="36">
        <v>0</v>
      </c>
      <c r="Q31" s="122">
        <f>SUM(C31:P31)</f>
        <v>452</v>
      </c>
    </row>
    <row r="32" spans="1:17" ht="21.75" thickBot="1" x14ac:dyDescent="0.4">
      <c r="A32" s="48" t="s">
        <v>35</v>
      </c>
      <c r="B32" s="10" t="s">
        <v>37</v>
      </c>
      <c r="C32" s="189">
        <v>0</v>
      </c>
      <c r="D32" s="189">
        <v>0</v>
      </c>
      <c r="E32" s="189">
        <v>0</v>
      </c>
      <c r="F32" s="39">
        <v>4</v>
      </c>
      <c r="G32" s="39">
        <v>3</v>
      </c>
      <c r="H32" s="39">
        <v>0</v>
      </c>
      <c r="I32" s="39">
        <v>0</v>
      </c>
      <c r="J32" s="39">
        <v>106</v>
      </c>
      <c r="K32" s="39">
        <v>0</v>
      </c>
      <c r="L32" s="39">
        <v>0</v>
      </c>
      <c r="M32" s="39">
        <v>19</v>
      </c>
      <c r="N32" s="190">
        <v>4</v>
      </c>
      <c r="O32" s="40">
        <v>41</v>
      </c>
      <c r="P32" s="40">
        <v>0</v>
      </c>
      <c r="Q32" s="122">
        <f>SUM(C32:P32)</f>
        <v>177</v>
      </c>
    </row>
    <row r="33" spans="1:17" ht="21.75" thickBot="1" x14ac:dyDescent="0.4">
      <c r="A33" s="49" t="s">
        <v>35</v>
      </c>
      <c r="B33" s="13" t="s">
        <v>38</v>
      </c>
      <c r="C33" s="191">
        <v>2</v>
      </c>
      <c r="D33" s="191">
        <v>0</v>
      </c>
      <c r="E33" s="191">
        <v>1</v>
      </c>
      <c r="F33" s="43">
        <v>4</v>
      </c>
      <c r="G33" s="43">
        <v>1</v>
      </c>
      <c r="H33" s="43">
        <v>0</v>
      </c>
      <c r="I33" s="43">
        <v>0</v>
      </c>
      <c r="J33" s="43">
        <v>3</v>
      </c>
      <c r="K33" s="43">
        <v>118</v>
      </c>
      <c r="L33" s="43">
        <v>0</v>
      </c>
      <c r="M33" s="43">
        <v>17</v>
      </c>
      <c r="N33" s="192">
        <v>3</v>
      </c>
      <c r="O33" s="44">
        <v>36</v>
      </c>
      <c r="P33" s="44">
        <v>0</v>
      </c>
      <c r="Q33" s="122">
        <f>SUM(C33:P33)</f>
        <v>185</v>
      </c>
    </row>
    <row r="34" spans="1:17" ht="29.25" thickBot="1" x14ac:dyDescent="0.4">
      <c r="A34" s="16"/>
      <c r="B34" s="16" t="s">
        <v>39</v>
      </c>
      <c r="C34" s="195">
        <v>4</v>
      </c>
      <c r="D34" s="195">
        <f>SUM(D31:D33)</f>
        <v>0</v>
      </c>
      <c r="E34" s="195">
        <f>SUM(E31:E33)</f>
        <v>1</v>
      </c>
      <c r="F34" s="50">
        <f>SUM(F31:F33)</f>
        <v>12</v>
      </c>
      <c r="G34" s="50">
        <f>SUM(G31:G33)</f>
        <v>5</v>
      </c>
      <c r="H34" s="50">
        <v>0</v>
      </c>
      <c r="I34" s="50">
        <v>0</v>
      </c>
      <c r="J34" s="50">
        <f t="shared" ref="J34:O34" si="6">SUM(J31:J33)</f>
        <v>114</v>
      </c>
      <c r="K34" s="50">
        <f t="shared" si="6"/>
        <v>118</v>
      </c>
      <c r="L34" s="50">
        <f t="shared" si="6"/>
        <v>413</v>
      </c>
      <c r="M34" s="50">
        <f t="shared" si="6"/>
        <v>49</v>
      </c>
      <c r="N34" s="196">
        <f t="shared" si="6"/>
        <v>8</v>
      </c>
      <c r="O34" s="51">
        <f t="shared" si="6"/>
        <v>90</v>
      </c>
      <c r="P34" s="51">
        <v>0</v>
      </c>
      <c r="Q34" s="124">
        <f>SUM(C34:O34)</f>
        <v>814</v>
      </c>
    </row>
    <row r="35" spans="1:17" ht="29.25" thickBot="1" x14ac:dyDescent="0.4">
      <c r="A35" s="125" t="s">
        <v>40</v>
      </c>
      <c r="B35" s="125" t="s">
        <v>40</v>
      </c>
      <c r="C35" s="197">
        <v>0</v>
      </c>
      <c r="D35" s="198">
        <v>0</v>
      </c>
      <c r="E35" s="199">
        <v>0</v>
      </c>
      <c r="F35" s="126">
        <v>0</v>
      </c>
      <c r="G35" s="126">
        <v>2</v>
      </c>
      <c r="H35" s="126">
        <v>0</v>
      </c>
      <c r="I35" s="126">
        <v>0</v>
      </c>
      <c r="J35" s="126">
        <v>0</v>
      </c>
      <c r="K35" s="126">
        <v>0</v>
      </c>
      <c r="L35" s="126">
        <v>0</v>
      </c>
      <c r="M35" s="126">
        <v>0</v>
      </c>
      <c r="N35" s="126">
        <v>0</v>
      </c>
      <c r="O35" s="126">
        <v>8</v>
      </c>
      <c r="P35" s="126">
        <v>0</v>
      </c>
      <c r="Q35" s="127">
        <f>SUM(C35:P35)</f>
        <v>10</v>
      </c>
    </row>
    <row r="36" spans="1:17" ht="24.75" thickBot="1" x14ac:dyDescent="0.45">
      <c r="A36" s="52"/>
      <c r="B36" s="1" t="s">
        <v>41</v>
      </c>
      <c r="C36" s="200">
        <f>SUM(C7,C17,C25,C30,C34,C35)</f>
        <v>94</v>
      </c>
      <c r="D36" s="200">
        <f>SUM(D7,D17,D25,D30,D34,D35)</f>
        <v>33</v>
      </c>
      <c r="E36" s="200">
        <f>SUM(E7,E17,E25,E30,E34,E35,)</f>
        <v>14</v>
      </c>
      <c r="F36" s="200">
        <f>SUM(F7,F17,F25,F30,F34,F35)</f>
        <v>69</v>
      </c>
      <c r="G36" s="200">
        <f t="shared" ref="G36:N36" si="7">SUM(G7,G17,G25,G30,G34,G35)</f>
        <v>101</v>
      </c>
      <c r="H36" s="200">
        <f>SUM(H17)</f>
        <v>119</v>
      </c>
      <c r="I36" s="200">
        <f>SUM(I7,I25)</f>
        <v>136</v>
      </c>
      <c r="J36" s="200">
        <f>SUM(J7,J17,J25,J30,J34)</f>
        <v>402</v>
      </c>
      <c r="K36" s="200">
        <f t="shared" si="7"/>
        <v>454</v>
      </c>
      <c r="L36" s="200">
        <f t="shared" si="7"/>
        <v>939</v>
      </c>
      <c r="M36" s="200">
        <f t="shared" si="7"/>
        <v>564</v>
      </c>
      <c r="N36" s="200">
        <f t="shared" si="7"/>
        <v>228</v>
      </c>
      <c r="O36" s="200">
        <f>SUM(O7,O17,O25,O30,O34,O35)</f>
        <v>642</v>
      </c>
      <c r="P36" s="200">
        <f>SUM(P25)</f>
        <v>55</v>
      </c>
      <c r="Q36" s="201">
        <f>SUM(Q7,Q17,Q25,Q30,Q34,Q35)</f>
        <v>3850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35CBBE87-FCF4-4838-918C-1BC3357F8DC3}">
  <ds:schemaRefs/>
</ds:datastoreItem>
</file>

<file path=customXml/itemProps2.xml><?xml version="1.0" encoding="utf-8"?>
<ds:datastoreItem xmlns:ds="http://schemas.openxmlformats.org/officeDocument/2006/customXml" ds:itemID="{799B6D2D-94D1-4EA6-8016-7E8E2BF0EF01}">
  <ds:schemaRefs/>
</ds:datastoreItem>
</file>

<file path=customXml/itemProps3.xml><?xml version="1.0" encoding="utf-8"?>
<ds:datastoreItem xmlns:ds="http://schemas.openxmlformats.org/officeDocument/2006/customXml" ds:itemID="{A7D670AA-A0B5-442F-93DA-D5428BEC99A3}">
  <ds:schemaRefs/>
</ds:datastoreItem>
</file>

<file path=customXml/itemProps4.xml><?xml version="1.0" encoding="utf-8"?>
<ds:datastoreItem xmlns:ds="http://schemas.openxmlformats.org/officeDocument/2006/customXml" ds:itemID="{2D7F4829-A4A3-4369-998F-18CF8F3A5073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29781270-B915-467C-97FA-30FE6048221D}">
  <ds:schemaRefs/>
</ds:datastoreItem>
</file>

<file path=customXml/itemProps6.xml><?xml version="1.0" encoding="utf-8"?>
<ds:datastoreItem xmlns:ds="http://schemas.openxmlformats.org/officeDocument/2006/customXml" ds:itemID="{3ED86140-92A2-40F8-94D0-AA65DA91777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15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17" baseType="lpstr">
      <vt:lpstr>Planilha2</vt:lpstr>
      <vt:lpstr>TOTAIS VAG. MAT. QUALI.</vt:lpstr>
      <vt:lpstr>total</vt:lpstr>
      <vt:lpstr>Geral</vt:lpstr>
      <vt:lpstr>Tipo de Instituição</vt:lpstr>
      <vt:lpstr>Total Por Tipo de Instituição</vt:lpstr>
      <vt:lpstr>Planilha5</vt:lpstr>
      <vt:lpstr>Planilha1</vt:lpstr>
      <vt:lpstr>Qualificados Total</vt:lpstr>
      <vt:lpstr>Planilha4</vt:lpstr>
      <vt:lpstr>Planilha3</vt:lpstr>
      <vt:lpstr>Qualificados 2026</vt:lpstr>
      <vt:lpstr>Qualificados 2025</vt:lpstr>
      <vt:lpstr>Qualificados 2024</vt:lpstr>
      <vt:lpstr>Qualificados 2023</vt:lpstr>
      <vt:lpstr>Gráfico1</vt:lpstr>
      <vt:lpstr>'Qualificados Total'!Area_de_impressao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Melo Dias</dc:creator>
  <cp:lastModifiedBy>Ronaldy Luiz Ferreira dos Santos</cp:lastModifiedBy>
  <cp:lastPrinted>2026-05-21T20:36:01Z</cp:lastPrinted>
  <dcterms:created xsi:type="dcterms:W3CDTF">2025-07-24T14:48:02Z</dcterms:created>
  <dcterms:modified xsi:type="dcterms:W3CDTF">2026-10-14T19:58:23Z</dcterms:modified>
</cp:coreProperties>
</file>